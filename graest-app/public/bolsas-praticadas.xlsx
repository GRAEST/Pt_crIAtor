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ue\Documents\Graest\graest-app\public\"/>
    </mc:Choice>
  </mc:AlternateContent>
  <xr:revisionPtr revIDLastSave="0" documentId="13_ncr:1_{13003A0B-5E91-4D3C-8E2E-3E8920A2EC2A}" xr6:coauthVersionLast="47" xr6:coauthVersionMax="47" xr10:uidLastSave="{00000000-0000-0000-0000-000000000000}"/>
  <bookViews>
    <workbookView xWindow="-110" yWindow="-110" windowWidth="25820" windowHeight="15620" tabRatio="900" firstSheet="4" activeTab="4" xr2:uid="{00000000-000D-0000-FFFF-FFFF00000000}"/>
  </bookViews>
  <sheets>
    <sheet name="TETO R$ 35.462,22_APROVADA " sheetId="5" state="hidden" r:id="rId1"/>
    <sheet name="TABELA-RESOLUÇÃO UEA_R$ 35.462" sheetId="6" state="hidden" r:id="rId2"/>
    <sheet name="TABELA-RESOLUÇÃO UEA_R$ 39.200" sheetId="7" state="hidden" r:id="rId3"/>
    <sheet name="PROPOSTA TETO R$ 41.650,92" sheetId="3" state="hidden" r:id="rId4"/>
    <sheet name="PRATICADA 2023" sheetId="8" r:id="rId5"/>
  </sheets>
  <definedNames>
    <definedName name="BOLSITAS" localSheetId="4">#REF!</definedName>
    <definedName name="BOLSITAS" localSheetId="1">#REF!</definedName>
    <definedName name="BOLSITAS" localSheetId="2">#REF!</definedName>
    <definedName name="BOLSITAS" localSheetId="0">#REF!</definedName>
    <definedName name="BOLSITAS">#REF!</definedName>
    <definedName name="DADOS_TABELA" localSheetId="4">#REF!</definedName>
    <definedName name="DADOS_TABELA" localSheetId="1">#REF!</definedName>
    <definedName name="DADOS_TABELA" localSheetId="2">#REF!</definedName>
    <definedName name="DADOS_TABELA" localSheetId="0">#REF!</definedName>
    <definedName name="DADOS_TABELA">#REF!</definedName>
    <definedName name="eee" localSheetId="4">#REF!</definedName>
    <definedName name="eee" localSheetId="1">#REF!</definedName>
    <definedName name="eee" localSheetId="2">#REF!</definedName>
    <definedName name="eee" localSheetId="0">#REF!</definedName>
    <definedName name="eee">#REF!</definedName>
    <definedName name="FUNÇÃO" localSheetId="4">#REF!</definedName>
    <definedName name="FUNÇÃO" localSheetId="1">#REF!</definedName>
    <definedName name="FUNÇÃO" localSheetId="2">#REF!</definedName>
    <definedName name="FUNÇÃO" localSheetId="0">#REF!</definedName>
    <definedName name="FUNÇÃO">#REF!</definedName>
    <definedName name="PDI" localSheetId="4">#REF!</definedName>
    <definedName name="PDI" localSheetId="1">#REF!</definedName>
    <definedName name="PDI" localSheetId="2">#REF!</definedName>
    <definedName name="PDI" localSheetId="0">#REF!</definedName>
    <definedName name="PDI">#REF!</definedName>
    <definedName name="PROJETO" localSheetId="4">#REF!</definedName>
    <definedName name="PROJETO" localSheetId="1">#REF!</definedName>
    <definedName name="PROJETO" localSheetId="2">#REF!</definedName>
    <definedName name="PROJETO" localSheetId="0">#REF!</definedName>
    <definedName name="PROJETO">#REF!</definedName>
    <definedName name="S" localSheetId="4">#REF!</definedName>
    <definedName name="S">#REF!</definedName>
    <definedName name="sumarioprojetos" localSheetId="4">#REF!</definedName>
    <definedName name="sumarioprojetos">#REF!</definedName>
    <definedName name="TESTE" localSheetId="4">#REF!</definedName>
    <definedName name="TESTE" localSheetId="1">#REF!</definedName>
    <definedName name="TESTE" localSheetId="2">#REF!</definedName>
    <definedName name="TESTE" localSheetId="0">#REF!</definedName>
    <definedName name="TESTE">#REF!</definedName>
    <definedName name="Tete" localSheetId="4">#REF!</definedName>
    <definedName name="Tete" localSheetId="1">#REF!</definedName>
    <definedName name="Tete" localSheetId="2">#REF!</definedName>
    <definedName name="Tete" localSheetId="0">#REF!</definedName>
    <definedName name="Tete">#REF!</definedName>
    <definedName name="TETEA" localSheetId="4">#REF!</definedName>
    <definedName name="TETEA" localSheetId="1">#REF!</definedName>
    <definedName name="TETEA" localSheetId="2">#REF!</definedName>
    <definedName name="TETEA" localSheetId="0">#REF!</definedName>
    <definedName name="TETE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8" l="1"/>
  <c r="L26" i="8"/>
  <c r="L25" i="8"/>
  <c r="L24" i="8"/>
  <c r="G24" i="8"/>
  <c r="L23" i="8"/>
  <c r="G23" i="8"/>
  <c r="L22" i="8"/>
  <c r="G22" i="8"/>
  <c r="L21" i="8"/>
  <c r="G21" i="8"/>
  <c r="L20" i="8"/>
  <c r="G20" i="8"/>
  <c r="L19" i="8"/>
  <c r="G19" i="8"/>
  <c r="L18" i="8"/>
  <c r="G18" i="8"/>
  <c r="L17" i="8"/>
  <c r="G17" i="8"/>
  <c r="L16" i="8"/>
  <c r="G16" i="8"/>
  <c r="L15" i="8"/>
  <c r="G15" i="8"/>
  <c r="L14" i="8"/>
  <c r="G14" i="8"/>
  <c r="L13" i="8"/>
  <c r="G13" i="8"/>
  <c r="L12" i="8"/>
  <c r="G12" i="8"/>
  <c r="L11" i="8"/>
  <c r="G11" i="8"/>
  <c r="K56" i="8"/>
  <c r="J56" i="8"/>
  <c r="I56" i="8"/>
  <c r="H56" i="8"/>
  <c r="G56" i="8"/>
  <c r="F56" i="8"/>
  <c r="E56" i="8"/>
  <c r="D56" i="8"/>
  <c r="K55" i="8"/>
  <c r="J55" i="8"/>
  <c r="I55" i="8"/>
  <c r="H55" i="8"/>
  <c r="G55" i="8"/>
  <c r="F55" i="8"/>
  <c r="E55" i="8"/>
  <c r="D55" i="8"/>
  <c r="K54" i="8"/>
  <c r="J54" i="8"/>
  <c r="I54" i="8"/>
  <c r="H54" i="8"/>
  <c r="G54" i="8"/>
  <c r="F54" i="8"/>
  <c r="E54" i="8"/>
  <c r="D54" i="8"/>
  <c r="K53" i="8"/>
  <c r="J53" i="8"/>
  <c r="I53" i="8"/>
  <c r="H53" i="8"/>
  <c r="G53" i="8"/>
  <c r="F53" i="8"/>
  <c r="E53" i="8"/>
  <c r="D53" i="8"/>
  <c r="K52" i="8"/>
  <c r="J52" i="8"/>
  <c r="I52" i="8"/>
  <c r="H52" i="8"/>
  <c r="G52" i="8"/>
  <c r="F52" i="8"/>
  <c r="E52" i="8"/>
  <c r="D52" i="8"/>
  <c r="K51" i="8"/>
  <c r="J51" i="8"/>
  <c r="I51" i="8"/>
  <c r="H51" i="8"/>
  <c r="G51" i="8"/>
  <c r="F51" i="8"/>
  <c r="E51" i="8"/>
  <c r="D51" i="8"/>
  <c r="K50" i="8"/>
  <c r="J50" i="8"/>
  <c r="I50" i="8"/>
  <c r="H50" i="8"/>
  <c r="G50" i="8"/>
  <c r="F50" i="8"/>
  <c r="E50" i="8"/>
  <c r="D50" i="8"/>
  <c r="K49" i="8"/>
  <c r="J49" i="8"/>
  <c r="I49" i="8"/>
  <c r="H49" i="8"/>
  <c r="G49" i="8"/>
  <c r="F49" i="8"/>
  <c r="E49" i="8"/>
  <c r="D49" i="8"/>
  <c r="K48" i="8"/>
  <c r="J48" i="8"/>
  <c r="I48" i="8"/>
  <c r="H48" i="8"/>
  <c r="G48" i="8"/>
  <c r="F48" i="8"/>
  <c r="E48" i="8"/>
  <c r="D48" i="8"/>
  <c r="K47" i="8"/>
  <c r="J47" i="8"/>
  <c r="I47" i="8"/>
  <c r="H47" i="8"/>
  <c r="G47" i="8"/>
  <c r="F47" i="8"/>
  <c r="E47" i="8"/>
  <c r="D47" i="8"/>
  <c r="K46" i="8"/>
  <c r="J46" i="8"/>
  <c r="I46" i="8"/>
  <c r="H46" i="8"/>
  <c r="G46" i="8"/>
  <c r="F46" i="8"/>
  <c r="E46" i="8"/>
  <c r="D46" i="8"/>
  <c r="L37" i="8"/>
  <c r="K37" i="8"/>
  <c r="L36" i="8"/>
  <c r="K36" i="8"/>
  <c r="L35" i="8"/>
  <c r="K35" i="8"/>
  <c r="L34" i="8"/>
  <c r="G34" i="8"/>
  <c r="L33" i="8"/>
  <c r="K33" i="8"/>
  <c r="K32" i="8"/>
  <c r="J32" i="8"/>
  <c r="I32" i="8"/>
  <c r="H32" i="8"/>
  <c r="G32" i="8"/>
  <c r="F32" i="8"/>
  <c r="E32" i="8"/>
  <c r="D7" i="8"/>
  <c r="K47" i="3"/>
  <c r="J47" i="3"/>
  <c r="I47" i="3"/>
  <c r="H47" i="3"/>
  <c r="G47" i="3"/>
  <c r="F47" i="3"/>
  <c r="E47" i="3"/>
  <c r="D47" i="3"/>
  <c r="K49" i="3"/>
  <c r="K50" i="3"/>
  <c r="J49" i="3"/>
  <c r="J50" i="3"/>
  <c r="I49" i="3"/>
  <c r="I50" i="3"/>
  <c r="H49" i="3"/>
  <c r="H50" i="3"/>
  <c r="G49" i="3"/>
  <c r="G50" i="3"/>
  <c r="F49" i="3"/>
  <c r="F50" i="3"/>
  <c r="E49" i="3"/>
  <c r="E50" i="3"/>
  <c r="D49" i="3"/>
  <c r="D50" i="3"/>
  <c r="L39" i="8"/>
  <c r="G39" i="8"/>
  <c r="J34" i="8"/>
  <c r="I35" i="8"/>
  <c r="J35" i="8"/>
  <c r="H34" i="8"/>
  <c r="H35" i="8"/>
  <c r="I34" i="8"/>
  <c r="K34" i="8"/>
  <c r="E34" i="8"/>
  <c r="E36" i="8"/>
  <c r="F34" i="8"/>
  <c r="E35" i="8"/>
  <c r="H36" i="8"/>
  <c r="F35" i="8"/>
  <c r="I36" i="8"/>
  <c r="K39" i="8"/>
  <c r="J39" i="8"/>
  <c r="I39" i="8"/>
  <c r="E39" i="8"/>
  <c r="H39" i="8"/>
  <c r="H33" i="8"/>
  <c r="H37" i="8"/>
  <c r="E33" i="8"/>
  <c r="I33" i="8"/>
  <c r="G35" i="8"/>
  <c r="F36" i="8"/>
  <c r="J36" i="8"/>
  <c r="E37" i="8"/>
  <c r="I37" i="8"/>
  <c r="F33" i="8"/>
  <c r="J33" i="8"/>
  <c r="G36" i="8"/>
  <c r="F37" i="8"/>
  <c r="J37" i="8"/>
  <c r="L38" i="8"/>
  <c r="L40" i="8"/>
  <c r="G33" i="8"/>
  <c r="G37" i="8"/>
  <c r="D40" i="3"/>
  <c r="O40" i="3"/>
  <c r="D39" i="3"/>
  <c r="O39" i="3"/>
  <c r="D38" i="3"/>
  <c r="O38" i="3"/>
  <c r="H25" i="3"/>
  <c r="H26" i="3"/>
  <c r="O26" i="3"/>
  <c r="H27" i="3"/>
  <c r="O32" i="3"/>
  <c r="K32" i="3"/>
  <c r="I32" i="3"/>
  <c r="J32" i="3"/>
  <c r="H32" i="3"/>
  <c r="G32" i="3"/>
  <c r="F32" i="3"/>
  <c r="E32" i="3"/>
  <c r="L37" i="3"/>
  <c r="K37" i="3"/>
  <c r="O37" i="3"/>
  <c r="O33" i="3"/>
  <c r="O34" i="3"/>
  <c r="O35" i="3"/>
  <c r="O36" i="3"/>
  <c r="G24" i="3"/>
  <c r="O24" i="3"/>
  <c r="H24" i="3"/>
  <c r="O25" i="3"/>
  <c r="O27" i="3"/>
  <c r="D7" i="3"/>
  <c r="D12" i="3"/>
  <c r="O12" i="3"/>
  <c r="F39" i="8"/>
  <c r="I40" i="8"/>
  <c r="E40" i="8"/>
  <c r="H40" i="8"/>
  <c r="J40" i="8"/>
  <c r="K40" i="8"/>
  <c r="G40" i="8"/>
  <c r="F40" i="8"/>
  <c r="I38" i="8"/>
  <c r="E38" i="8"/>
  <c r="J38" i="8"/>
  <c r="H38" i="8"/>
  <c r="K38" i="8"/>
  <c r="G38" i="8"/>
  <c r="F38" i="8"/>
  <c r="L12" i="3"/>
  <c r="F37" i="3"/>
  <c r="E37" i="3"/>
  <c r="J37" i="3"/>
  <c r="H37" i="3"/>
  <c r="I37" i="3"/>
  <c r="G37" i="3"/>
  <c r="M52" i="7"/>
  <c r="L52" i="7"/>
  <c r="M51" i="7"/>
  <c r="L51" i="7"/>
  <c r="J51" i="7"/>
  <c r="F51" i="7"/>
  <c r="M50" i="7"/>
  <c r="L50" i="7"/>
  <c r="M49" i="7"/>
  <c r="L49" i="7"/>
  <c r="M48" i="7"/>
  <c r="L48" i="7"/>
  <c r="F48" i="7"/>
  <c r="M47" i="7"/>
  <c r="L47" i="7"/>
  <c r="I47" i="7"/>
  <c r="M46" i="7"/>
  <c r="L46" i="7"/>
  <c r="F46" i="7"/>
  <c r="M45" i="7"/>
  <c r="L45" i="7"/>
  <c r="J45" i="7"/>
  <c r="F45" i="7"/>
  <c r="M44" i="7"/>
  <c r="L44" i="7"/>
  <c r="L26" i="7"/>
  <c r="K26" i="7"/>
  <c r="J26" i="7"/>
  <c r="L25" i="7"/>
  <c r="K25" i="7"/>
  <c r="J25" i="7"/>
  <c r="L24" i="7"/>
  <c r="K24" i="7"/>
  <c r="J24" i="7"/>
  <c r="L23" i="7"/>
  <c r="K23" i="7"/>
  <c r="J23" i="7"/>
  <c r="I23" i="7"/>
  <c r="H23" i="7"/>
  <c r="L22" i="7"/>
  <c r="K22" i="7"/>
  <c r="J22" i="7"/>
  <c r="I22" i="7"/>
  <c r="H22" i="7"/>
  <c r="G22" i="7"/>
  <c r="E7" i="7"/>
  <c r="F22" i="7"/>
  <c r="M50" i="6"/>
  <c r="L50" i="6"/>
  <c r="I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38" i="6"/>
  <c r="M37" i="6"/>
  <c r="M36" i="6"/>
  <c r="M35" i="6"/>
  <c r="M34" i="6"/>
  <c r="M33" i="6"/>
  <c r="M32" i="6"/>
  <c r="M31" i="6"/>
  <c r="M30" i="6"/>
  <c r="M29" i="6"/>
  <c r="M28" i="6"/>
  <c r="M24" i="6"/>
  <c r="M23" i="6"/>
  <c r="M22" i="6"/>
  <c r="M21" i="6"/>
  <c r="H21" i="6"/>
  <c r="M20" i="6"/>
  <c r="H20" i="6"/>
  <c r="M19" i="6"/>
  <c r="H19" i="6"/>
  <c r="M18" i="6"/>
  <c r="H18" i="6"/>
  <c r="M17" i="6"/>
  <c r="H17" i="6"/>
  <c r="M16" i="6"/>
  <c r="H16" i="6"/>
  <c r="M15" i="6"/>
  <c r="H15" i="6"/>
  <c r="M14" i="6"/>
  <c r="H14" i="6"/>
  <c r="M13" i="6"/>
  <c r="H13" i="6"/>
  <c r="M12" i="6"/>
  <c r="H12" i="6"/>
  <c r="M11" i="6"/>
  <c r="H11" i="6"/>
  <c r="M10" i="6"/>
  <c r="H10" i="6"/>
  <c r="M9" i="6"/>
  <c r="H9" i="6"/>
  <c r="M8" i="6"/>
  <c r="H8" i="6"/>
  <c r="I46" i="6"/>
  <c r="I45" i="6"/>
  <c r="I45" i="7"/>
  <c r="I51" i="7"/>
  <c r="I49" i="6"/>
  <c r="I49" i="7"/>
  <c r="F44" i="7"/>
  <c r="F47" i="7"/>
  <c r="J49" i="7"/>
  <c r="F52" i="7"/>
  <c r="J47" i="7"/>
  <c r="F50" i="7"/>
  <c r="I42" i="6"/>
  <c r="F49" i="7"/>
  <c r="I43" i="6"/>
  <c r="I47" i="6"/>
  <c r="E11" i="7"/>
  <c r="M11" i="7"/>
  <c r="L11" i="7"/>
  <c r="I44" i="7"/>
  <c r="I46" i="7"/>
  <c r="I48" i="7"/>
  <c r="I50" i="7"/>
  <c r="I52" i="7"/>
  <c r="I44" i="6"/>
  <c r="I48" i="6"/>
  <c r="E15" i="7"/>
  <c r="M15" i="7"/>
  <c r="L15" i="7"/>
  <c r="J44" i="7"/>
  <c r="J46" i="7"/>
  <c r="J48" i="7"/>
  <c r="J50" i="7"/>
  <c r="J52" i="7"/>
  <c r="E19" i="7"/>
  <c r="M19" i="7"/>
  <c r="G19" i="7"/>
  <c r="K11" i="7"/>
  <c r="F11" i="7"/>
  <c r="J15" i="7"/>
  <c r="L19" i="7"/>
  <c r="H19" i="7"/>
  <c r="K19" i="7"/>
  <c r="J19" i="7"/>
  <c r="F19" i="7"/>
  <c r="E12" i="7"/>
  <c r="M12" i="7"/>
  <c r="E16" i="7"/>
  <c r="M16" i="7"/>
  <c r="E20" i="7"/>
  <c r="M20" i="7"/>
  <c r="G44" i="7"/>
  <c r="K44" i="7"/>
  <c r="G45" i="7"/>
  <c r="K45" i="7"/>
  <c r="G46" i="7"/>
  <c r="K46" i="7"/>
  <c r="G47" i="7"/>
  <c r="K47" i="7"/>
  <c r="G48" i="7"/>
  <c r="K48" i="7"/>
  <c r="G49" i="7"/>
  <c r="K49" i="7"/>
  <c r="G50" i="7"/>
  <c r="K50" i="7"/>
  <c r="G51" i="7"/>
  <c r="K51" i="7"/>
  <c r="G52" i="7"/>
  <c r="K52" i="7"/>
  <c r="E13" i="7"/>
  <c r="M13" i="7"/>
  <c r="E17" i="7"/>
  <c r="M17" i="7"/>
  <c r="E21" i="7"/>
  <c r="M21" i="7"/>
  <c r="H44" i="7"/>
  <c r="H45" i="7"/>
  <c r="H46" i="7"/>
  <c r="H47" i="7"/>
  <c r="H48" i="7"/>
  <c r="H49" i="7"/>
  <c r="H50" i="7"/>
  <c r="H51" i="7"/>
  <c r="H52" i="7"/>
  <c r="E10" i="7"/>
  <c r="M10" i="7"/>
  <c r="E14" i="7"/>
  <c r="M14" i="7"/>
  <c r="E18" i="7"/>
  <c r="M18" i="7"/>
  <c r="F42" i="6"/>
  <c r="J42" i="6"/>
  <c r="F43" i="6"/>
  <c r="J43" i="6"/>
  <c r="F44" i="6"/>
  <c r="J44" i="6"/>
  <c r="F45" i="6"/>
  <c r="J45" i="6"/>
  <c r="F46" i="6"/>
  <c r="J46" i="6"/>
  <c r="F47" i="6"/>
  <c r="J47" i="6"/>
  <c r="F48" i="6"/>
  <c r="J48" i="6"/>
  <c r="F49" i="6"/>
  <c r="J49" i="6"/>
  <c r="F50" i="6"/>
  <c r="J50" i="6"/>
  <c r="G42" i="6"/>
  <c r="K42" i="6"/>
  <c r="G43" i="6"/>
  <c r="K43" i="6"/>
  <c r="G44" i="6"/>
  <c r="K44" i="6"/>
  <c r="G45" i="6"/>
  <c r="K45" i="6"/>
  <c r="G46" i="6"/>
  <c r="K46" i="6"/>
  <c r="G47" i="6"/>
  <c r="K47" i="6"/>
  <c r="G48" i="6"/>
  <c r="K48" i="6"/>
  <c r="G49" i="6"/>
  <c r="K49" i="6"/>
  <c r="G50" i="6"/>
  <c r="K50" i="6"/>
  <c r="H42" i="6"/>
  <c r="H43" i="6"/>
  <c r="H44" i="6"/>
  <c r="H45" i="6"/>
  <c r="H46" i="6"/>
  <c r="H47" i="6"/>
  <c r="H48" i="6"/>
  <c r="H49" i="6"/>
  <c r="H50" i="6"/>
  <c r="D55" i="3"/>
  <c r="D23" i="3"/>
  <c r="D22" i="3"/>
  <c r="O22" i="3"/>
  <c r="G15" i="7"/>
  <c r="H11" i="7"/>
  <c r="I11" i="7"/>
  <c r="I15" i="7"/>
  <c r="J11" i="7"/>
  <c r="I19" i="7"/>
  <c r="F15" i="7"/>
  <c r="G11" i="7"/>
  <c r="K15" i="7"/>
  <c r="H15" i="7"/>
  <c r="L23" i="3"/>
  <c r="F23" i="3"/>
  <c r="O23" i="3"/>
  <c r="L22" i="3"/>
  <c r="J17" i="7"/>
  <c r="F17" i="7"/>
  <c r="K17" i="7"/>
  <c r="I17" i="7"/>
  <c r="L17" i="7"/>
  <c r="H17" i="7"/>
  <c r="G17" i="7"/>
  <c r="J13" i="7"/>
  <c r="F13" i="7"/>
  <c r="G13" i="7"/>
  <c r="I13" i="7"/>
  <c r="K13" i="7"/>
  <c r="L13" i="7"/>
  <c r="H13" i="7"/>
  <c r="K16" i="7"/>
  <c r="G16" i="7"/>
  <c r="H16" i="7"/>
  <c r="J16" i="7"/>
  <c r="F16" i="7"/>
  <c r="L16" i="7"/>
  <c r="I16" i="7"/>
  <c r="I14" i="7"/>
  <c r="J14" i="7"/>
  <c r="L14" i="7"/>
  <c r="H14" i="7"/>
  <c r="K14" i="7"/>
  <c r="G14" i="7"/>
  <c r="F14" i="7"/>
  <c r="K20" i="7"/>
  <c r="G20" i="7"/>
  <c r="L20" i="7"/>
  <c r="J20" i="7"/>
  <c r="F20" i="7"/>
  <c r="I20" i="7"/>
  <c r="H20" i="7"/>
  <c r="K12" i="7"/>
  <c r="G12" i="7"/>
  <c r="J12" i="7"/>
  <c r="F12" i="7"/>
  <c r="H12" i="7"/>
  <c r="I12" i="7"/>
  <c r="L12" i="7"/>
  <c r="I10" i="7"/>
  <c r="F10" i="7"/>
  <c r="L10" i="7"/>
  <c r="H10" i="7"/>
  <c r="J10" i="7"/>
  <c r="K10" i="7"/>
  <c r="G10" i="7"/>
  <c r="I18" i="7"/>
  <c r="L18" i="7"/>
  <c r="H18" i="7"/>
  <c r="F18" i="7"/>
  <c r="K18" i="7"/>
  <c r="G18" i="7"/>
  <c r="J18" i="7"/>
  <c r="J21" i="7"/>
  <c r="F21" i="7"/>
  <c r="K21" i="7"/>
  <c r="I21" i="7"/>
  <c r="L21" i="7"/>
  <c r="H21" i="7"/>
  <c r="G21" i="7"/>
  <c r="K48" i="3"/>
  <c r="K51" i="3"/>
  <c r="K52" i="3"/>
  <c r="K53" i="3"/>
  <c r="K54" i="3"/>
  <c r="K55" i="3"/>
  <c r="K56" i="3"/>
  <c r="K46" i="3"/>
  <c r="J48" i="3"/>
  <c r="J51" i="3"/>
  <c r="J52" i="3"/>
  <c r="J53" i="3"/>
  <c r="J54" i="3"/>
  <c r="J55" i="3"/>
  <c r="J56" i="3"/>
  <c r="J46" i="3"/>
  <c r="I48" i="3"/>
  <c r="I51" i="3"/>
  <c r="I52" i="3"/>
  <c r="I53" i="3"/>
  <c r="I54" i="3"/>
  <c r="I55" i="3"/>
  <c r="I56" i="3"/>
  <c r="I46" i="3"/>
  <c r="H48" i="3"/>
  <c r="H51" i="3"/>
  <c r="H52" i="3"/>
  <c r="H53" i="3"/>
  <c r="H54" i="3"/>
  <c r="H55" i="3"/>
  <c r="H56" i="3"/>
  <c r="H46" i="3"/>
  <c r="G48" i="3"/>
  <c r="G51" i="3"/>
  <c r="G52" i="3"/>
  <c r="G53" i="3"/>
  <c r="G54" i="3"/>
  <c r="G55" i="3"/>
  <c r="G56" i="3"/>
  <c r="G46" i="3"/>
  <c r="F48" i="3"/>
  <c r="F51" i="3"/>
  <c r="F52" i="3"/>
  <c r="F53" i="3"/>
  <c r="F54" i="3"/>
  <c r="F55" i="3"/>
  <c r="F56" i="3"/>
  <c r="F46" i="3"/>
  <c r="E52" i="3"/>
  <c r="E53" i="3"/>
  <c r="E54" i="3"/>
  <c r="E55" i="3"/>
  <c r="E56" i="3"/>
  <c r="E51" i="3"/>
  <c r="E48" i="3"/>
  <c r="E46" i="3"/>
  <c r="D51" i="3"/>
  <c r="D52" i="3"/>
  <c r="D53" i="3"/>
  <c r="D54" i="3"/>
  <c r="D56" i="3"/>
  <c r="D48" i="3"/>
  <c r="D46" i="3"/>
  <c r="G23" i="3"/>
  <c r="E23" i="3"/>
  <c r="G22" i="3"/>
  <c r="L53" i="5"/>
  <c r="K53" i="5"/>
  <c r="J53" i="5"/>
  <c r="I53" i="5"/>
  <c r="L52" i="5"/>
  <c r="K52" i="5"/>
  <c r="J52" i="5"/>
  <c r="I52" i="5"/>
  <c r="H52" i="5"/>
  <c r="I51" i="5"/>
  <c r="H51" i="5"/>
  <c r="G51" i="5"/>
  <c r="M50" i="5"/>
  <c r="H50" i="5"/>
  <c r="M49" i="5"/>
  <c r="H49" i="5"/>
  <c r="M48" i="5"/>
  <c r="H48" i="5"/>
  <c r="M47" i="5"/>
  <c r="H47" i="5"/>
  <c r="M46" i="5"/>
  <c r="H46" i="5"/>
  <c r="M45" i="5"/>
  <c r="H45" i="5"/>
  <c r="M44" i="5"/>
  <c r="H44" i="5"/>
  <c r="M43" i="5"/>
  <c r="H43" i="5"/>
  <c r="M42" i="5"/>
  <c r="H42" i="5"/>
  <c r="M41" i="5"/>
  <c r="H41" i="5"/>
  <c r="M40" i="5"/>
  <c r="H40" i="5"/>
  <c r="M39" i="5"/>
  <c r="H39" i="5"/>
  <c r="M38" i="5"/>
  <c r="H38" i="5"/>
  <c r="L24" i="5"/>
  <c r="K24" i="5"/>
  <c r="L23" i="5"/>
  <c r="K23" i="5"/>
  <c r="J23" i="5"/>
  <c r="L22" i="5"/>
  <c r="K22" i="5"/>
  <c r="L21" i="5"/>
  <c r="I21" i="5"/>
  <c r="L20" i="5"/>
  <c r="K20" i="5"/>
  <c r="L19" i="5"/>
  <c r="F19" i="5"/>
  <c r="L18" i="5"/>
  <c r="J18" i="5"/>
  <c r="I18" i="5"/>
  <c r="L17" i="5"/>
  <c r="K17" i="5"/>
  <c r="L16" i="5"/>
  <c r="F16" i="5"/>
  <c r="L15" i="5"/>
  <c r="K15" i="5"/>
  <c r="L14" i="5"/>
  <c r="I14" i="5"/>
  <c r="L13" i="5"/>
  <c r="K13" i="5"/>
  <c r="L12" i="5"/>
  <c r="G12" i="5"/>
  <c r="L11" i="5"/>
  <c r="F11" i="5"/>
  <c r="J11" i="5"/>
  <c r="I11" i="5"/>
  <c r="H11" i="5"/>
  <c r="L10" i="5"/>
  <c r="J10" i="5"/>
  <c r="L9" i="5"/>
  <c r="G9" i="5"/>
  <c r="L8" i="5"/>
  <c r="K8" i="5"/>
  <c r="H9" i="5"/>
  <c r="K18" i="5"/>
  <c r="J21" i="5"/>
  <c r="I9" i="5"/>
  <c r="I12" i="5"/>
  <c r="J14" i="5"/>
  <c r="G8" i="5"/>
  <c r="J9" i="5"/>
  <c r="K12" i="5"/>
  <c r="K14" i="5"/>
  <c r="G11" i="5"/>
  <c r="J12" i="5"/>
  <c r="H18" i="5"/>
  <c r="K21" i="5"/>
  <c r="F17" i="5"/>
  <c r="I17" i="5"/>
  <c r="F12" i="5"/>
  <c r="J17" i="5"/>
  <c r="G17" i="5"/>
  <c r="H17" i="5"/>
  <c r="I10" i="5"/>
  <c r="F8" i="5"/>
  <c r="K10" i="5"/>
  <c r="H12" i="5"/>
  <c r="K9" i="5"/>
  <c r="F15" i="5"/>
  <c r="G19" i="5"/>
  <c r="F10" i="5"/>
  <c r="G16" i="5"/>
  <c r="H19" i="5"/>
  <c r="F9" i="5"/>
  <c r="F18" i="5"/>
  <c r="I19" i="5"/>
  <c r="J22" i="5"/>
  <c r="G10" i="5"/>
  <c r="H10" i="5"/>
  <c r="G14" i="5"/>
  <c r="G18" i="5"/>
  <c r="J19" i="5"/>
  <c r="H8" i="5"/>
  <c r="K11" i="5"/>
  <c r="F14" i="5"/>
  <c r="G15" i="5"/>
  <c r="H16" i="5"/>
  <c r="K19" i="5"/>
  <c r="F13" i="5"/>
  <c r="I16" i="5"/>
  <c r="J8" i="5"/>
  <c r="G13" i="5"/>
  <c r="H14" i="5"/>
  <c r="I15" i="5"/>
  <c r="J16" i="5"/>
  <c r="G20" i="5"/>
  <c r="J24" i="5"/>
  <c r="I8" i="5"/>
  <c r="H15" i="5"/>
  <c r="H13" i="5"/>
  <c r="J15" i="5"/>
  <c r="K16" i="5"/>
  <c r="H20" i="5"/>
  <c r="I13" i="5"/>
  <c r="I20" i="5"/>
  <c r="J13" i="5"/>
  <c r="J20" i="5"/>
  <c r="L40" i="3"/>
  <c r="K40" i="3"/>
  <c r="L39" i="3"/>
  <c r="K39" i="3"/>
  <c r="L38" i="3"/>
  <c r="K38" i="3"/>
  <c r="L36" i="3"/>
  <c r="K36" i="3"/>
  <c r="L35" i="3"/>
  <c r="K35" i="3"/>
  <c r="L34" i="3"/>
  <c r="K34" i="3"/>
  <c r="L33" i="3"/>
  <c r="K33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H23" i="3"/>
  <c r="D19" i="3"/>
  <c r="O19" i="3"/>
  <c r="G40" i="3"/>
  <c r="F36" i="3"/>
  <c r="F40" i="3"/>
  <c r="F33" i="3"/>
  <c r="I33" i="3"/>
  <c r="E39" i="3"/>
  <c r="F39" i="3"/>
  <c r="F34" i="3"/>
  <c r="I39" i="3"/>
  <c r="E35" i="3"/>
  <c r="F35" i="3"/>
  <c r="E33" i="3"/>
  <c r="I35" i="3"/>
  <c r="F38" i="3"/>
  <c r="G34" i="3"/>
  <c r="G36" i="3"/>
  <c r="G38" i="3"/>
  <c r="H34" i="3"/>
  <c r="H36" i="3"/>
  <c r="H38" i="3"/>
  <c r="H40" i="3"/>
  <c r="L19" i="3"/>
  <c r="H19" i="3"/>
  <c r="G33" i="3"/>
  <c r="E34" i="3"/>
  <c r="I34" i="3"/>
  <c r="G35" i="3"/>
  <c r="E36" i="3"/>
  <c r="I36" i="3"/>
  <c r="E38" i="3"/>
  <c r="I38" i="3"/>
  <c r="G39" i="3"/>
  <c r="E40" i="3"/>
  <c r="I40" i="3"/>
  <c r="H33" i="3"/>
  <c r="H35" i="3"/>
  <c r="H39" i="3"/>
  <c r="D16" i="3"/>
  <c r="O16" i="3"/>
  <c r="D15" i="3"/>
  <c r="O15" i="3"/>
  <c r="D20" i="3"/>
  <c r="O20" i="3"/>
  <c r="D13" i="3"/>
  <c r="O13" i="3"/>
  <c r="D21" i="3"/>
  <c r="O21" i="3"/>
  <c r="D14" i="3"/>
  <c r="D17" i="3"/>
  <c r="O17" i="3"/>
  <c r="J33" i="3"/>
  <c r="J34" i="3"/>
  <c r="J35" i="3"/>
  <c r="J36" i="3"/>
  <c r="J38" i="3"/>
  <c r="J39" i="3"/>
  <c r="J40" i="3"/>
  <c r="D18" i="3"/>
  <c r="O18" i="3"/>
  <c r="D11" i="3"/>
  <c r="O11" i="3"/>
  <c r="L11" i="3"/>
  <c r="F11" i="3"/>
  <c r="F19" i="3"/>
  <c r="J19" i="3"/>
  <c r="K19" i="3"/>
  <c r="G19" i="3"/>
  <c r="I19" i="3"/>
  <c r="E19" i="3"/>
  <c r="L15" i="3"/>
  <c r="I15" i="3"/>
  <c r="L18" i="3"/>
  <c r="F18" i="3"/>
  <c r="L17" i="3"/>
  <c r="H17" i="3"/>
  <c r="L14" i="3"/>
  <c r="J14" i="3"/>
  <c r="O14" i="3"/>
  <c r="L20" i="3"/>
  <c r="E20" i="3"/>
  <c r="L21" i="3"/>
  <c r="K21" i="3"/>
  <c r="I12" i="3"/>
  <c r="L16" i="3"/>
  <c r="F16" i="3"/>
  <c r="L13" i="3"/>
  <c r="J13" i="3"/>
  <c r="I22" i="3"/>
  <c r="H22" i="3"/>
  <c r="F22" i="3"/>
  <c r="E22" i="3"/>
  <c r="K22" i="3"/>
  <c r="J22" i="3"/>
  <c r="H11" i="3"/>
  <c r="G14" i="3"/>
  <c r="H14" i="3"/>
  <c r="E14" i="3"/>
  <c r="G21" i="3"/>
  <c r="K14" i="3"/>
  <c r="I14" i="3"/>
  <c r="H15" i="3"/>
  <c r="G15" i="3"/>
  <c r="F14" i="3"/>
  <c r="F15" i="3"/>
  <c r="E15" i="3"/>
  <c r="E21" i="3"/>
  <c r="J17" i="3"/>
  <c r="I21" i="3"/>
  <c r="K11" i="3"/>
  <c r="I17" i="3"/>
  <c r="F21" i="3"/>
  <c r="G11" i="3"/>
  <c r="J11" i="3"/>
  <c r="H21" i="3"/>
  <c r="J21" i="3"/>
  <c r="K13" i="3"/>
  <c r="E11" i="3"/>
  <c r="I11" i="3"/>
  <c r="G13" i="3"/>
  <c r="H18" i="3"/>
  <c r="I20" i="3"/>
  <c r="K18" i="3"/>
  <c r="J20" i="3"/>
  <c r="H13" i="3"/>
  <c r="J18" i="3"/>
  <c r="K20" i="3"/>
  <c r="I16" i="3"/>
  <c r="E18" i="3"/>
  <c r="G16" i="3"/>
  <c r="G18" i="3"/>
  <c r="F13" i="3"/>
  <c r="J12" i="3"/>
  <c r="K15" i="3"/>
  <c r="H16" i="3"/>
  <c r="E13" i="3"/>
  <c r="I13" i="3"/>
  <c r="I18" i="3"/>
  <c r="K12" i="3"/>
  <c r="J16" i="3"/>
  <c r="K16" i="3"/>
  <c r="G20" i="3"/>
  <c r="F20" i="3"/>
  <c r="J15" i="3"/>
  <c r="E17" i="3"/>
  <c r="F17" i="3"/>
  <c r="G12" i="3"/>
  <c r="E12" i="3"/>
  <c r="G17" i="3"/>
  <c r="F12" i="3"/>
  <c r="K17" i="3"/>
  <c r="H12" i="3"/>
  <c r="H20" i="3"/>
  <c r="E16" i="3"/>
  <c r="O31" i="3"/>
  <c r="L31" i="3"/>
  <c r="F31" i="3"/>
  <c r="H31" i="3"/>
  <c r="E31" i="3"/>
  <c r="J31" i="3"/>
  <c r="K31" i="3"/>
  <c r="G31" i="3"/>
  <c r="I31" i="3"/>
  <c r="L31" i="8"/>
  <c r="I31" i="8"/>
  <c r="J31" i="8"/>
  <c r="K31" i="8"/>
  <c r="E31" i="8"/>
  <c r="F31" i="8"/>
  <c r="G31" i="8"/>
  <c r="H31" i="8"/>
</calcChain>
</file>

<file path=xl/sharedStrings.xml><?xml version="1.0" encoding="utf-8"?>
<sst xmlns="http://schemas.openxmlformats.org/spreadsheetml/2006/main" count="533" uniqueCount="135">
  <si>
    <t>AGENTE ADMINISTRATIVO A - N.B.</t>
  </si>
  <si>
    <t>PRO-REITOR/UEA-1</t>
  </si>
  <si>
    <t>ASSESSOR TECNICO NIV.III UEA.9</t>
  </si>
  <si>
    <t>ASSESSOR TECNICO NIV.II UEA.7</t>
  </si>
  <si>
    <t>ASSESSOR TECNICO NIV.I UEA.5</t>
  </si>
  <si>
    <t>AUX.ADMINISTRATIVO 4A.CL-AA.304.07</t>
  </si>
  <si>
    <t>PERFIL</t>
  </si>
  <si>
    <t>Valor Hora</t>
  </si>
  <si>
    <t>BOLSAS SERVIDORES PÚBLICOS</t>
  </si>
  <si>
    <t>TITULAÇÃO PORTAL DE TRANSPARÊNCIA UEA</t>
  </si>
  <si>
    <t>Aluno Graduando - Nível: A - 1º Ano</t>
  </si>
  <si>
    <t xml:space="preserve"> Aluno Graduando - Nível: B - 2º Ano</t>
  </si>
  <si>
    <t>Aluno Graduando - Nível: C - 3º Ano</t>
  </si>
  <si>
    <t>Aluno Graduando - Nível: D - 4º Ano</t>
  </si>
  <si>
    <t>Aluno Graduando - Nível: E - 5º Ano</t>
  </si>
  <si>
    <t>Aluno Pós-Grad - Nível: A - 1º Semestre</t>
  </si>
  <si>
    <t>Aluno Pós-Grad - Nível: B  - 2º Semestre</t>
  </si>
  <si>
    <t>Aluno Pós-Grad - Nível: C  - 3º Semestre</t>
  </si>
  <si>
    <t>Aluno Pós-Grad - Nível: D  - 4º Semestre</t>
  </si>
  <si>
    <t>Aluno Mestrado</t>
  </si>
  <si>
    <t>Aluno Doutorado</t>
  </si>
  <si>
    <t>DESCRIÇÃO</t>
  </si>
  <si>
    <t>BOLSAS ALUNOS</t>
  </si>
  <si>
    <t>17 - Doutorado Titular - Nível: UNC</t>
  </si>
  <si>
    <t>16 - Doutorado Associado - Nível: C</t>
  </si>
  <si>
    <t>15 - Doutorado Associado - Nível: B</t>
  </si>
  <si>
    <t>14 - Doutorado Associado - Nível: A</t>
  </si>
  <si>
    <t>PROF.DOUTOR ASSOC.A 40HS-PA.111.20</t>
  </si>
  <si>
    <t>13 - Doutorado Adjunto - Nível: D</t>
  </si>
  <si>
    <t>PROF.DOUTOR ADJ.D 40HS-PD.111.20</t>
  </si>
  <si>
    <t>12 - Doutorado Adjunto - Nível: C</t>
  </si>
  <si>
    <t>PROF.DOUTOR ADJ.C 40HS-PD.111.20</t>
  </si>
  <si>
    <t>11 - Doutorado Adjunto - Nível: B</t>
  </si>
  <si>
    <t>PROF.DOUTOR ADJ.B 40HS-PD.111.20</t>
  </si>
  <si>
    <t>10 - Doutorado Adjunto - Nível: A</t>
  </si>
  <si>
    <t>PROF.DOUTOR ADJ.A 40HS-PD.111.20</t>
  </si>
  <si>
    <t>9 - Mestrado Assistente - Nível: D</t>
  </si>
  <si>
    <t>PROF.MESTRE ASSIST.D 40HS-PM.111.20</t>
  </si>
  <si>
    <t>8 - Mestrado Assistente - Nível: C</t>
  </si>
  <si>
    <t>PROF.MESTRE ASSIST.C 40HS-PM.111.20</t>
  </si>
  <si>
    <t>7 - Mestrado Assistente - Nível: B</t>
  </si>
  <si>
    <t>PROF.MESTRE ASSIST.B 40HS-PM.111.20</t>
  </si>
  <si>
    <t>6 - Mestrado Assistente - Nível: A</t>
  </si>
  <si>
    <t>PROF.MESTRE ASSIST.A 40HS-PM.111.20</t>
  </si>
  <si>
    <t>5 - Especialização Auxiliar - Nível: D</t>
  </si>
  <si>
    <t>PROF.ESPECIAL.AUX.D 40HS-PE.111.20</t>
  </si>
  <si>
    <t>4 - Especialização Auxiliar - Nível: C</t>
  </si>
  <si>
    <t>PROF.ESPECIAL.AUX.C 40HS-PE.111.20</t>
  </si>
  <si>
    <t>3 - Especialização Auxiliar - Nível: B</t>
  </si>
  <si>
    <t>PROF.ESPECIAL.AUX.B 40HS-PE.111.20</t>
  </si>
  <si>
    <t>2 - Especialização Auxiliar - Nível: A</t>
  </si>
  <si>
    <t>PROF.ESPECIAL AUX.A 40HS-PE.111.20</t>
  </si>
  <si>
    <t>1 - Professor Graduado - Nível: UNC</t>
  </si>
  <si>
    <t>Professor Graduado - Nível: UNC</t>
  </si>
  <si>
    <t>Colunas1</t>
  </si>
  <si>
    <t>4</t>
  </si>
  <si>
    <t>14</t>
  </si>
  <si>
    <t>28</t>
  </si>
  <si>
    <t>42</t>
  </si>
  <si>
    <t>44</t>
  </si>
  <si>
    <t>56</t>
  </si>
  <si>
    <t>70</t>
  </si>
  <si>
    <t>88</t>
  </si>
  <si>
    <t xml:space="preserve">DESCRIÇÃO </t>
  </si>
  <si>
    <t>Qtde de Horas</t>
  </si>
  <si>
    <t xml:space="preserve">Valor Gratificação Cargo de Coordenador </t>
  </si>
  <si>
    <t>BOLSAS PROFESSORES</t>
  </si>
  <si>
    <t>PROFESSOR MESTRE - TEMPORÁRIO</t>
  </si>
  <si>
    <t>PROFESSOR DOUTOR - TEMPORÁRIO</t>
  </si>
  <si>
    <t>PROFESSOR ESPECIALISTA -  TEMPORÁRIO</t>
  </si>
  <si>
    <t>Assistente Técnico - Nível I</t>
  </si>
  <si>
    <t>Assistente  Técnico - Nível II</t>
  </si>
  <si>
    <t>Analista Técnico - Nivel I</t>
  </si>
  <si>
    <t>Auxiliar/Apoio Técnico - Nível II</t>
  </si>
  <si>
    <t>Auxiliar/Apoio Técnico - Nível I</t>
  </si>
  <si>
    <t>Professor Pesquisador Especialista</t>
  </si>
  <si>
    <t>Professor Pesquisador Mestre</t>
  </si>
  <si>
    <t>Professor Pesquisador Doutor</t>
  </si>
  <si>
    <t>Coordenador de Projeto</t>
  </si>
  <si>
    <t>NOVO TETO CONSTITUCIONAL</t>
  </si>
  <si>
    <t>ANTIGO TETO E PARÂMETRO PARA O VALOR DAS BOLSAS</t>
  </si>
  <si>
    <t>DIFERENÇA TETO ANTERIOR E NOVO</t>
  </si>
  <si>
    <t>PROFESSOR DOUTOR</t>
  </si>
  <si>
    <t>PROF.DOUTOR ASSOC.C 40HS-PA.111.20</t>
  </si>
  <si>
    <t>Perfil</t>
  </si>
  <si>
    <t>Bolsas - Carga Horária</t>
  </si>
  <si>
    <t>Descrição UEA</t>
  </si>
  <si>
    <t>Descrição Geral</t>
  </si>
  <si>
    <t>Professor Graduado - Nível UNC</t>
  </si>
  <si>
    <t>Especializaçõa Auxiliar - Nível: A</t>
  </si>
  <si>
    <t>Especializaçõa Auxiliar - Nível: B</t>
  </si>
  <si>
    <t>Especializaçõa Auxiliar - Nível: C</t>
  </si>
  <si>
    <t>Especializaçõa Auxiliar - Nível: D</t>
  </si>
  <si>
    <t>Mestrado Assistente - Nível: A</t>
  </si>
  <si>
    <t>Mestrado Assistente - Nível: B</t>
  </si>
  <si>
    <t>Mestrado Assistente - Nível: C</t>
  </si>
  <si>
    <t>Mestrado Assistente - Nível: D</t>
  </si>
  <si>
    <t>Dotorado Adjunto - Nível: A</t>
  </si>
  <si>
    <t>Dotorado Adjunto - Nível: B</t>
  </si>
  <si>
    <t>Dotorado Adjunto - Nível: C</t>
  </si>
  <si>
    <t>Dotorado Adjunto - Nível: D</t>
  </si>
  <si>
    <t>Doutorado Associado - Nível: A</t>
  </si>
  <si>
    <t>Doutorado Associado - Nível: B</t>
  </si>
  <si>
    <t>Doutorado Associado - Nível: C</t>
  </si>
  <si>
    <t>Doutorado Titular - Nível: UNC</t>
  </si>
  <si>
    <t>?</t>
  </si>
  <si>
    <t>Aluno Graduando - Nível: A - 1º Ano - Sem Exp</t>
  </si>
  <si>
    <t>Aluno Graduando - Nível: E - 5º Ano - Com Exp</t>
  </si>
  <si>
    <t>NÃO PAGAR ALÉM DO TETO R$ 39.200</t>
  </si>
  <si>
    <t>01/04/2023 = 6%</t>
  </si>
  <si>
    <t>01/02/2024 = 5,66%</t>
  </si>
  <si>
    <t>01/02/2025 = 5,36%</t>
  </si>
  <si>
    <t>AUX.ADMINISTRATIVO 3A.CL-AA.303.08</t>
  </si>
  <si>
    <t>ASSESSOR TECNICO NIV.IV UEA.11</t>
  </si>
  <si>
    <t>AUX ADMINISTRATIVO</t>
  </si>
  <si>
    <t>PROF.DOUTOR ASSOC.B 40HS-PA.111.20</t>
  </si>
  <si>
    <t>PROF.DOUTOR ASSOC.D 40HS-PA.111.20</t>
  </si>
  <si>
    <t>Intervalo de Salarios</t>
  </si>
  <si>
    <t>Total Rem + Bolsa</t>
  </si>
  <si>
    <t>Assessor Tecnico</t>
  </si>
  <si>
    <t xml:space="preserve">Total pelo Maior </t>
  </si>
  <si>
    <t>Coluna1</t>
  </si>
  <si>
    <t>Aluno Especialista</t>
  </si>
  <si>
    <t>Aluno Doutorando</t>
  </si>
  <si>
    <t>Aluno Mestrando</t>
  </si>
  <si>
    <t>Aluno Especialização - Primeira Especialização</t>
  </si>
  <si>
    <t>Aluno Especialização - Segunda Especialização</t>
  </si>
  <si>
    <t>Aluno Especialização - Terceira Especialização</t>
  </si>
  <si>
    <t>Aluno Mestrado - Primeiro Mestrado</t>
  </si>
  <si>
    <t>Aluno Mestrado - Segundo Mestrado</t>
  </si>
  <si>
    <t>A TABELA DE BOLSA PRATICADA PARA ALUNOS - FOI AJUSTADA UMA VEZ QUE NÃO EXISTE OUTRAS RENDAS PARA ESTES E A CONCORRÊNCIA COM GRANDE INSTITUTOS REQUER UMA POSTURA E ATITUDE MAIS ENERGÉTICA PARA RETER BONS ALUNOS COM A FINALIDADE DE ENTREGAR PRODUTO E PROJETOS COM ALTO ÍNDICE DE QUALIDADE EM RELAÇÃO AO VALOR AGREGADO ESPERADO.</t>
  </si>
  <si>
    <t>EM APROVAÇÃO</t>
  </si>
  <si>
    <t>PRATICADA ATUALMENTE ATÉ QUE A OUTRA SEJA APROVADA</t>
  </si>
  <si>
    <t>A TABELA DE BOLSA PRATICADA PARA ALUNOS - FOI AJUSTADA UMA VEZ QUE NÃO EXISTE OUTRAS RENDAS PARA ESTES E A CONCORRÊNCIA COM GRANDE INSTITUTOS REQUER UMA POSTURA E ATITUDE MAIS ENERGÉTICA PARA RETER BONS TALENTOS, OU SEJA ALUNOS COM A FINALIDADE DE ENTREGAR PRODUTO E PROJETOS COM ALTO ÍNDICE DE QUALIDADE EM RELAÇÃO AO VALOR AGREGADO ESPERADO.</t>
  </si>
  <si>
    <t>PROPOSTA PARA CORREÇÃO TAB PROFESSOR - EM APROVAÇÃO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</si>
</sst>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* #,##0.00_-;\-&quot;R$&quot;* #,##0.00_-;_-&quot;R$&quot;* &quot;-&quot;??_-;_-@_-"/>
    <numFmt numFmtId="166" formatCode="&quot;R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u val="singleAccounting"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DEBF7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5">
    <xf numFmtId="0" fontId="0" fillId="0" borderId="0" xfId="0"/>
    <xf numFmtId="0" fontId="0" fillId="0" borderId="0" xfId="0" applyAlignment="1">
      <alignment vertical="center"/>
    </xf>
    <xf numFmtId="43" fontId="0" fillId="0" borderId="0" xfId="1" applyFont="1" applyAlignment="1" applyProtection="1">
      <alignment vertical="center"/>
    </xf>
    <xf numFmtId="0" fontId="0" fillId="3" borderId="0" xfId="0" applyFill="1" applyAlignment="1">
      <alignment vertical="center"/>
    </xf>
    <xf numFmtId="43" fontId="0" fillId="3" borderId="0" xfId="1" applyFont="1" applyFill="1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164" fontId="4" fillId="3" borderId="5" xfId="1" applyNumberFormat="1" applyFont="1" applyFill="1" applyBorder="1"/>
    <xf numFmtId="164" fontId="4" fillId="4" borderId="5" xfId="1" applyNumberFormat="1" applyFont="1" applyFill="1" applyBorder="1"/>
    <xf numFmtId="0" fontId="0" fillId="0" borderId="9" xfId="0" applyBorder="1" applyAlignment="1">
      <alignment vertical="center"/>
    </xf>
    <xf numFmtId="0" fontId="2" fillId="5" borderId="11" xfId="2" applyFont="1" applyFill="1" applyBorder="1" applyAlignment="1">
      <alignment horizontal="center" vertical="center"/>
    </xf>
    <xf numFmtId="0" fontId="2" fillId="5" borderId="12" xfId="2" applyFont="1" applyFill="1" applyBorder="1" applyAlignment="1">
      <alignment horizontal="center" vertical="center"/>
    </xf>
    <xf numFmtId="0" fontId="2" fillId="5" borderId="13" xfId="2" applyFont="1" applyFill="1" applyBorder="1" applyAlignment="1">
      <alignment horizontal="center" vertical="center"/>
    </xf>
    <xf numFmtId="44" fontId="0" fillId="0" borderId="1" xfId="0" applyNumberFormat="1" applyBorder="1"/>
    <xf numFmtId="44" fontId="4" fillId="0" borderId="2" xfId="3" applyNumberFormat="1" applyFont="1" applyFill="1" applyBorder="1"/>
    <xf numFmtId="165" fontId="4" fillId="0" borderId="2" xfId="3" applyFont="1" applyFill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44" fontId="0" fillId="0" borderId="4" xfId="0" applyNumberFormat="1" applyBorder="1"/>
    <xf numFmtId="44" fontId="4" fillId="0" borderId="5" xfId="3" applyNumberFormat="1" applyFont="1" applyFill="1" applyBorder="1"/>
    <xf numFmtId="165" fontId="4" fillId="0" borderId="5" xfId="3" applyFont="1" applyFill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44" fontId="0" fillId="0" borderId="7" xfId="0" applyNumberFormat="1" applyBorder="1"/>
    <xf numFmtId="44" fontId="4" fillId="0" borderId="8" xfId="3" applyNumberFormat="1" applyFont="1" applyFill="1" applyBorder="1"/>
    <xf numFmtId="165" fontId="4" fillId="0" borderId="8" xfId="3" applyFont="1" applyFill="1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44" fontId="0" fillId="0" borderId="18" xfId="0" applyNumberFormat="1" applyBorder="1"/>
    <xf numFmtId="44" fontId="4" fillId="0" borderId="19" xfId="3" applyNumberFormat="1" applyFont="1" applyFill="1" applyBorder="1"/>
    <xf numFmtId="165" fontId="4" fillId="0" borderId="19" xfId="3" applyFont="1" applyFill="1" applyBorder="1"/>
    <xf numFmtId="164" fontId="0" fillId="0" borderId="19" xfId="1" applyNumberFormat="1" applyFont="1" applyBorder="1"/>
    <xf numFmtId="164" fontId="0" fillId="0" borderId="20" xfId="1" applyNumberFormat="1" applyFont="1" applyBorder="1"/>
    <xf numFmtId="44" fontId="0" fillId="0" borderId="11" xfId="0" applyNumberFormat="1" applyBorder="1"/>
    <xf numFmtId="44" fontId="4" fillId="0" borderId="12" xfId="3" applyNumberFormat="1" applyFont="1" applyFill="1" applyBorder="1"/>
    <xf numFmtId="165" fontId="4" fillId="0" borderId="12" xfId="3" applyFont="1" applyFill="1" applyBorder="1"/>
    <xf numFmtId="164" fontId="0" fillId="0" borderId="12" xfId="1" applyNumberFormat="1" applyFont="1" applyBorder="1"/>
    <xf numFmtId="164" fontId="0" fillId="0" borderId="13" xfId="1" applyNumberFormat="1" applyFont="1" applyBorder="1"/>
    <xf numFmtId="44" fontId="1" fillId="0" borderId="1" xfId="3" applyNumberFormat="1" applyFont="1" applyBorder="1" applyAlignment="1">
      <alignment vertical="center"/>
    </xf>
    <xf numFmtId="44" fontId="1" fillId="0" borderId="2" xfId="3" applyNumberFormat="1" applyFont="1" applyBorder="1" applyAlignment="1">
      <alignment vertical="center"/>
    </xf>
    <xf numFmtId="44" fontId="0" fillId="0" borderId="2" xfId="4" applyFont="1" applyBorder="1" applyAlignment="1">
      <alignment vertical="center"/>
    </xf>
    <xf numFmtId="164" fontId="0" fillId="0" borderId="2" xfId="1" applyNumberFormat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44" fontId="1" fillId="0" borderId="4" xfId="3" applyNumberFormat="1" applyFont="1" applyBorder="1" applyAlignment="1">
      <alignment vertical="center"/>
    </xf>
    <xf numFmtId="44" fontId="1" fillId="0" borderId="5" xfId="3" applyNumberFormat="1" applyFont="1" applyBorder="1" applyAlignment="1">
      <alignment vertical="center"/>
    </xf>
    <xf numFmtId="44" fontId="0" fillId="0" borderId="5" xfId="4" applyFont="1" applyBorder="1" applyAlignment="1">
      <alignment vertical="center"/>
    </xf>
    <xf numFmtId="164" fontId="0" fillId="0" borderId="5" xfId="1" applyNumberFormat="1" applyFont="1" applyBorder="1" applyAlignment="1">
      <alignment vertical="center"/>
    </xf>
    <xf numFmtId="164" fontId="0" fillId="0" borderId="6" xfId="1" applyNumberFormat="1" applyFont="1" applyBorder="1" applyAlignment="1">
      <alignment vertical="center"/>
    </xf>
    <xf numFmtId="44" fontId="1" fillId="0" borderId="7" xfId="3" applyNumberFormat="1" applyFont="1" applyBorder="1" applyAlignment="1">
      <alignment vertical="center"/>
    </xf>
    <xf numFmtId="44" fontId="1" fillId="0" borderId="8" xfId="3" applyNumberFormat="1" applyFont="1" applyBorder="1" applyAlignment="1">
      <alignment vertical="center"/>
    </xf>
    <xf numFmtId="44" fontId="0" fillId="0" borderId="8" xfId="4" applyFont="1" applyBorder="1" applyAlignment="1">
      <alignment vertical="center"/>
    </xf>
    <xf numFmtId="164" fontId="0" fillId="0" borderId="8" xfId="1" applyNumberFormat="1" applyFont="1" applyBorder="1" applyAlignment="1">
      <alignment vertical="center"/>
    </xf>
    <xf numFmtId="44" fontId="1" fillId="0" borderId="18" xfId="3" applyNumberFormat="1" applyFont="1" applyBorder="1" applyAlignment="1">
      <alignment vertical="center"/>
    </xf>
    <xf numFmtId="44" fontId="1" fillId="0" borderId="19" xfId="3" applyNumberFormat="1" applyFont="1" applyBorder="1" applyAlignment="1">
      <alignment vertical="center"/>
    </xf>
    <xf numFmtId="164" fontId="0" fillId="0" borderId="19" xfId="1" applyNumberFormat="1" applyFont="1" applyBorder="1" applyAlignment="1">
      <alignment vertical="center"/>
    </xf>
    <xf numFmtId="0" fontId="0" fillId="0" borderId="20" xfId="0" applyBorder="1" applyAlignment="1">
      <alignment vertical="center"/>
    </xf>
    <xf numFmtId="164" fontId="4" fillId="0" borderId="1" xfId="1" applyNumberFormat="1" applyFont="1" applyFill="1" applyBorder="1"/>
    <xf numFmtId="166" fontId="4" fillId="0" borderId="3" xfId="0" applyNumberFormat="1" applyFont="1" applyBorder="1"/>
    <xf numFmtId="164" fontId="4" fillId="3" borderId="0" xfId="1" applyNumberFormat="1" applyFont="1" applyFill="1" applyBorder="1"/>
    <xf numFmtId="164" fontId="4" fillId="6" borderId="4" xfId="1" applyNumberFormat="1" applyFont="1" applyFill="1" applyBorder="1"/>
    <xf numFmtId="166" fontId="4" fillId="6" borderId="6" xfId="0" applyNumberFormat="1" applyFont="1" applyFill="1" applyBorder="1"/>
    <xf numFmtId="164" fontId="4" fillId="4" borderId="0" xfId="1" applyNumberFormat="1" applyFont="1" applyFill="1" applyBorder="1"/>
    <xf numFmtId="164" fontId="4" fillId="0" borderId="4" xfId="1" applyNumberFormat="1" applyFont="1" applyFill="1" applyBorder="1"/>
    <xf numFmtId="166" fontId="4" fillId="0" borderId="6" xfId="0" applyNumberFormat="1" applyFont="1" applyBorder="1"/>
    <xf numFmtId="164" fontId="4" fillId="6" borderId="21" xfId="1" applyNumberFormat="1" applyFont="1" applyFill="1" applyBorder="1"/>
    <xf numFmtId="166" fontId="4" fillId="6" borderId="22" xfId="3" applyNumberFormat="1" applyFont="1" applyFill="1" applyBorder="1"/>
    <xf numFmtId="44" fontId="1" fillId="0" borderId="11" xfId="3" applyNumberFormat="1" applyFont="1" applyBorder="1" applyAlignment="1">
      <alignment vertical="center"/>
    </xf>
    <xf numFmtId="44" fontId="1" fillId="0" borderId="12" xfId="3" applyNumberFormat="1" applyFont="1" applyBorder="1" applyAlignment="1">
      <alignment vertical="center"/>
    </xf>
    <xf numFmtId="44" fontId="0" fillId="0" borderId="12" xfId="4" applyFont="1" applyBorder="1" applyAlignment="1">
      <alignment vertical="center"/>
    </xf>
    <xf numFmtId="164" fontId="0" fillId="0" borderId="13" xfId="1" applyNumberFormat="1" applyFont="1" applyBorder="1" applyAlignment="1">
      <alignment vertical="center"/>
    </xf>
    <xf numFmtId="166" fontId="0" fillId="3" borderId="8" xfId="1" applyNumberFormat="1" applyFont="1" applyFill="1" applyBorder="1" applyAlignment="1" applyProtection="1">
      <alignment vertical="center"/>
    </xf>
    <xf numFmtId="166" fontId="0" fillId="3" borderId="5" xfId="1" applyNumberFormat="1" applyFont="1" applyFill="1" applyBorder="1" applyAlignment="1" applyProtection="1">
      <alignment vertical="center"/>
    </xf>
    <xf numFmtId="166" fontId="0" fillId="3" borderId="2" xfId="1" applyNumberFormat="1" applyFont="1" applyFill="1" applyBorder="1" applyAlignment="1" applyProtection="1">
      <alignment vertical="center"/>
    </xf>
    <xf numFmtId="164" fontId="4" fillId="3" borderId="2" xfId="1" applyNumberFormat="1" applyFont="1" applyFill="1" applyBorder="1"/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3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1" applyFont="1" applyAlignment="1" applyProtection="1">
      <alignment vertical="center"/>
    </xf>
    <xf numFmtId="166" fontId="6" fillId="0" borderId="0" xfId="1" applyNumberFormat="1" applyFont="1" applyAlignment="1" applyProtection="1">
      <alignment vertical="center"/>
    </xf>
    <xf numFmtId="166" fontId="0" fillId="0" borderId="12" xfId="4" applyNumberFormat="1" applyFont="1" applyBorder="1" applyAlignment="1">
      <alignment vertical="center"/>
    </xf>
    <xf numFmtId="166" fontId="0" fillId="0" borderId="8" xfId="4" applyNumberFormat="1" applyFont="1" applyBorder="1" applyAlignment="1">
      <alignment vertical="center"/>
    </xf>
    <xf numFmtId="166" fontId="0" fillId="0" borderId="5" xfId="4" applyNumberFormat="1" applyFont="1" applyBorder="1" applyAlignment="1">
      <alignment vertical="center"/>
    </xf>
    <xf numFmtId="166" fontId="0" fillId="0" borderId="19" xfId="4" applyNumberFormat="1" applyFont="1" applyBorder="1" applyAlignment="1">
      <alignment vertical="center"/>
    </xf>
    <xf numFmtId="44" fontId="0" fillId="3" borderId="0" xfId="0" applyNumberFormat="1" applyFill="1" applyAlignment="1">
      <alignment vertical="center"/>
    </xf>
    <xf numFmtId="0" fontId="7" fillId="0" borderId="5" xfId="0" applyFont="1" applyBorder="1" applyAlignment="1">
      <alignment horizontal="center" vertical="center"/>
    </xf>
    <xf numFmtId="43" fontId="7" fillId="0" borderId="5" xfId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5" xfId="0" applyBorder="1" applyAlignment="1">
      <alignment vertical="center"/>
    </xf>
    <xf numFmtId="43" fontId="0" fillId="0" borderId="5" xfId="1" applyFont="1" applyBorder="1" applyAlignment="1" applyProtection="1">
      <alignment vertical="center"/>
    </xf>
    <xf numFmtId="43" fontId="0" fillId="0" borderId="5" xfId="1" applyFont="1" applyFill="1" applyBorder="1" applyAlignment="1" applyProtection="1">
      <alignment vertical="center"/>
    </xf>
    <xf numFmtId="0" fontId="3" fillId="5" borderId="31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2" fillId="5" borderId="34" xfId="0" applyFont="1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164" fontId="0" fillId="0" borderId="35" xfId="1" applyNumberFormat="1" applyFont="1" applyBorder="1" applyAlignment="1">
      <alignment vertical="center"/>
    </xf>
    <xf numFmtId="44" fontId="0" fillId="0" borderId="35" xfId="4" applyFont="1" applyBorder="1" applyAlignment="1">
      <alignment vertical="center"/>
    </xf>
    <xf numFmtId="44" fontId="1" fillId="0" borderId="35" xfId="3" applyNumberFormat="1" applyFont="1" applyBorder="1" applyAlignment="1">
      <alignment vertical="center"/>
    </xf>
    <xf numFmtId="44" fontId="1" fillId="0" borderId="21" xfId="3" applyNumberFormat="1" applyFont="1" applyBorder="1" applyAlignment="1">
      <alignment vertical="center"/>
    </xf>
    <xf numFmtId="164" fontId="4" fillId="3" borderId="8" xfId="1" applyNumberFormat="1" applyFont="1" applyFill="1" applyBorder="1"/>
    <xf numFmtId="43" fontId="0" fillId="3" borderId="8" xfId="1" applyFont="1" applyFill="1" applyBorder="1" applyAlignment="1" applyProtection="1">
      <alignment vertical="center"/>
    </xf>
    <xf numFmtId="0" fontId="0" fillId="3" borderId="7" xfId="0" applyFill="1" applyBorder="1" applyAlignment="1">
      <alignment vertical="center"/>
    </xf>
    <xf numFmtId="43" fontId="0" fillId="3" borderId="5" xfId="1" applyFont="1" applyFill="1" applyBorder="1" applyAlignment="1" applyProtection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43" fontId="0" fillId="3" borderId="2" xfId="1" applyFont="1" applyFill="1" applyBorder="1" applyAlignment="1" applyProtection="1">
      <alignment vertical="center"/>
    </xf>
    <xf numFmtId="0" fontId="0" fillId="3" borderId="1" xfId="0" applyFill="1" applyBorder="1" applyAlignment="1">
      <alignment vertical="center"/>
    </xf>
    <xf numFmtId="44" fontId="0" fillId="0" borderId="19" xfId="4" applyFont="1" applyBorder="1" applyAlignment="1">
      <alignment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37" xfId="0" applyFont="1" applyFill="1" applyBorder="1" applyAlignment="1">
      <alignment horizontal="center" vertical="center"/>
    </xf>
    <xf numFmtId="0" fontId="2" fillId="5" borderId="38" xfId="0" applyFont="1" applyFill="1" applyBorder="1" applyAlignment="1">
      <alignment horizontal="center" vertical="center"/>
    </xf>
    <xf numFmtId="164" fontId="0" fillId="0" borderId="12" xfId="1" applyNumberFormat="1" applyFont="1" applyBorder="1" applyAlignment="1">
      <alignment vertical="center"/>
    </xf>
    <xf numFmtId="166" fontId="0" fillId="3" borderId="7" xfId="0" applyNumberFormat="1" applyFill="1" applyBorder="1" applyAlignment="1">
      <alignment vertical="center"/>
    </xf>
    <xf numFmtId="166" fontId="0" fillId="3" borderId="4" xfId="0" applyNumberFormat="1" applyFill="1" applyBorder="1" applyAlignment="1">
      <alignment vertical="center"/>
    </xf>
    <xf numFmtId="166" fontId="0" fillId="3" borderId="1" xfId="0" applyNumberFormat="1" applyFill="1" applyBorder="1" applyAlignment="1">
      <alignment vertical="center"/>
    </xf>
    <xf numFmtId="166" fontId="6" fillId="0" borderId="0" xfId="0" applyNumberFormat="1" applyFont="1" applyAlignment="1">
      <alignment vertical="center"/>
    </xf>
    <xf numFmtId="44" fontId="0" fillId="0" borderId="0" xfId="0" applyNumberFormat="1" applyAlignment="1">
      <alignment vertical="center"/>
    </xf>
    <xf numFmtId="14" fontId="0" fillId="0" borderId="0" xfId="1" applyNumberFormat="1" applyFont="1" applyAlignment="1" applyProtection="1">
      <alignment vertical="center"/>
    </xf>
    <xf numFmtId="166" fontId="9" fillId="10" borderId="0" xfId="0" applyNumberFormat="1" applyFont="1" applyFill="1" applyAlignment="1">
      <alignment vertical="center"/>
    </xf>
    <xf numFmtId="166" fontId="10" fillId="8" borderId="0" xfId="0" applyNumberFormat="1" applyFont="1" applyFill="1" applyAlignment="1">
      <alignment vertical="center" wrapText="1"/>
    </xf>
    <xf numFmtId="166" fontId="9" fillId="11" borderId="0" xfId="3" applyNumberFormat="1" applyFont="1" applyFill="1" applyBorder="1" applyAlignment="1"/>
    <xf numFmtId="166" fontId="0" fillId="0" borderId="0" xfId="0" applyNumberFormat="1" applyAlignment="1">
      <alignment vertical="center"/>
    </xf>
    <xf numFmtId="166" fontId="0" fillId="3" borderId="0" xfId="0" applyNumberFormat="1" applyFill="1" applyAlignment="1">
      <alignment vertical="center"/>
    </xf>
    <xf numFmtId="166" fontId="0" fillId="0" borderId="7" xfId="0" applyNumberFormat="1" applyBorder="1" applyAlignment="1">
      <alignment vertical="center"/>
    </xf>
    <xf numFmtId="166" fontId="0" fillId="0" borderId="4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6" fontId="0" fillId="0" borderId="18" xfId="0" applyNumberFormat="1" applyBorder="1" applyAlignment="1">
      <alignment vertical="center"/>
    </xf>
    <xf numFmtId="164" fontId="0" fillId="0" borderId="13" xfId="1" applyNumberFormat="1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164" fontId="0" fillId="0" borderId="6" xfId="1" applyNumberFormat="1" applyFont="1" applyBorder="1" applyAlignment="1">
      <alignment horizontal="left" vertical="top"/>
    </xf>
    <xf numFmtId="164" fontId="0" fillId="0" borderId="3" xfId="1" applyNumberFormat="1" applyFont="1" applyBorder="1" applyAlignment="1">
      <alignment horizontal="left" vertical="top"/>
    </xf>
    <xf numFmtId="166" fontId="1" fillId="0" borderId="12" xfId="3" applyNumberFormat="1" applyFont="1" applyBorder="1" applyAlignment="1">
      <alignment vertical="center"/>
    </xf>
    <xf numFmtId="166" fontId="1" fillId="0" borderId="8" xfId="3" applyNumberFormat="1" applyFont="1" applyBorder="1" applyAlignment="1">
      <alignment vertical="center"/>
    </xf>
    <xf numFmtId="166" fontId="1" fillId="0" borderId="5" xfId="3" applyNumberFormat="1" applyFont="1" applyBorder="1" applyAlignment="1">
      <alignment vertical="center"/>
    </xf>
    <xf numFmtId="166" fontId="1" fillId="0" borderId="19" xfId="3" applyNumberFormat="1" applyFont="1" applyBorder="1" applyAlignment="1">
      <alignment vertical="center"/>
    </xf>
    <xf numFmtId="166" fontId="0" fillId="3" borderId="8" xfId="4" applyNumberFormat="1" applyFont="1" applyFill="1" applyBorder="1" applyAlignment="1">
      <alignment vertical="center"/>
    </xf>
    <xf numFmtId="166" fontId="0" fillId="3" borderId="5" xfId="4" applyNumberFormat="1" applyFont="1" applyFill="1" applyBorder="1" applyAlignment="1">
      <alignment vertical="center"/>
    </xf>
    <xf numFmtId="166" fontId="0" fillId="3" borderId="19" xfId="4" applyNumberFormat="1" applyFont="1" applyFill="1" applyBorder="1" applyAlignment="1">
      <alignment vertical="center"/>
    </xf>
    <xf numFmtId="166" fontId="0" fillId="0" borderId="2" xfId="4" applyNumberFormat="1" applyFont="1" applyBorder="1" applyAlignment="1">
      <alignment vertical="center"/>
    </xf>
    <xf numFmtId="166" fontId="1" fillId="0" borderId="2" xfId="3" applyNumberFormat="1" applyFont="1" applyBorder="1" applyAlignment="1">
      <alignment vertical="center"/>
    </xf>
    <xf numFmtId="166" fontId="0" fillId="0" borderId="41" xfId="0" applyNumberFormat="1" applyBorder="1" applyAlignment="1">
      <alignment vertical="center"/>
    </xf>
    <xf numFmtId="166" fontId="0" fillId="0" borderId="42" xfId="0" applyNumberFormat="1" applyBorder="1" applyAlignment="1">
      <alignment vertical="center"/>
    </xf>
    <xf numFmtId="166" fontId="0" fillId="0" borderId="43" xfId="0" applyNumberFormat="1" applyBorder="1" applyAlignment="1">
      <alignment vertical="center"/>
    </xf>
    <xf numFmtId="166" fontId="0" fillId="0" borderId="44" xfId="0" applyNumberFormat="1" applyBorder="1" applyAlignment="1">
      <alignment vertical="center"/>
    </xf>
    <xf numFmtId="166" fontId="4" fillId="4" borderId="13" xfId="1" applyNumberFormat="1" applyFont="1" applyFill="1" applyBorder="1"/>
    <xf numFmtId="166" fontId="0" fillId="3" borderId="11" xfId="0" applyNumberFormat="1" applyFill="1" applyBorder="1" applyAlignment="1">
      <alignment vertical="center"/>
    </xf>
    <xf numFmtId="166" fontId="4" fillId="3" borderId="9" xfId="1" applyNumberFormat="1" applyFont="1" applyFill="1" applyBorder="1"/>
    <xf numFmtId="166" fontId="4" fillId="4" borderId="6" xfId="1" applyNumberFormat="1" applyFont="1" applyFill="1" applyBorder="1"/>
    <xf numFmtId="166" fontId="4" fillId="3" borderId="6" xfId="1" applyNumberFormat="1" applyFont="1" applyFill="1" applyBorder="1"/>
    <xf numFmtId="166" fontId="4" fillId="4" borderId="20" xfId="1" applyNumberFormat="1" applyFont="1" applyFill="1" applyBorder="1"/>
    <xf numFmtId="166" fontId="0" fillId="3" borderId="18" xfId="0" applyNumberFormat="1" applyFill="1" applyBorder="1" applyAlignment="1">
      <alignment vertical="center"/>
    </xf>
    <xf numFmtId="166" fontId="0" fillId="3" borderId="20" xfId="0" applyNumberFormat="1" applyFill="1" applyBorder="1" applyAlignment="1">
      <alignment vertical="center"/>
    </xf>
    <xf numFmtId="166" fontId="0" fillId="3" borderId="9" xfId="0" applyNumberFormat="1" applyFill="1" applyBorder="1" applyAlignment="1">
      <alignment vertical="center"/>
    </xf>
    <xf numFmtId="166" fontId="0" fillId="3" borderId="6" xfId="0" applyNumberFormat="1" applyFill="1" applyBorder="1" applyAlignment="1">
      <alignment vertical="center"/>
    </xf>
    <xf numFmtId="166" fontId="0" fillId="0" borderId="20" xfId="0" applyNumberFormat="1" applyBorder="1" applyAlignment="1">
      <alignment vertical="center"/>
    </xf>
    <xf numFmtId="164" fontId="4" fillId="4" borderId="8" xfId="1" applyNumberFormat="1" applyFont="1" applyFill="1" applyBorder="1"/>
    <xf numFmtId="166" fontId="0" fillId="0" borderId="49" xfId="0" applyNumberFormat="1" applyBorder="1" applyAlignment="1">
      <alignment vertical="center"/>
    </xf>
    <xf numFmtId="166" fontId="0" fillId="0" borderId="39" xfId="0" applyNumberFormat="1" applyBorder="1" applyAlignment="1">
      <alignment vertical="center"/>
    </xf>
    <xf numFmtId="166" fontId="0" fillId="0" borderId="50" xfId="0" applyNumberFormat="1" applyBorder="1" applyAlignment="1">
      <alignment vertical="center"/>
    </xf>
    <xf numFmtId="166" fontId="12" fillId="8" borderId="0" xfId="0" applyNumberFormat="1" applyFont="1" applyFill="1" applyAlignment="1">
      <alignment horizontal="right" vertical="center" wrapText="1"/>
    </xf>
    <xf numFmtId="166" fontId="0" fillId="9" borderId="43" xfId="0" applyNumberFormat="1" applyFill="1" applyBorder="1" applyAlignment="1">
      <alignment vertical="center"/>
    </xf>
    <xf numFmtId="166" fontId="0" fillId="9" borderId="44" xfId="0" applyNumberFormat="1" applyFill="1" applyBorder="1" applyAlignment="1">
      <alignment vertical="center"/>
    </xf>
    <xf numFmtId="166" fontId="0" fillId="9" borderId="42" xfId="0" applyNumberFormat="1" applyFill="1" applyBorder="1" applyAlignment="1">
      <alignment vertical="center"/>
    </xf>
    <xf numFmtId="166" fontId="13" fillId="0" borderId="7" xfId="3" applyNumberFormat="1" applyFont="1" applyBorder="1" applyAlignment="1">
      <alignment vertical="center"/>
    </xf>
    <xf numFmtId="166" fontId="13" fillId="0" borderId="4" xfId="3" applyNumberFormat="1" applyFont="1" applyBorder="1" applyAlignment="1">
      <alignment vertical="center"/>
    </xf>
    <xf numFmtId="166" fontId="13" fillId="0" borderId="1" xfId="3" applyNumberFormat="1" applyFont="1" applyBorder="1" applyAlignment="1">
      <alignment vertical="center"/>
    </xf>
    <xf numFmtId="166" fontId="0" fillId="9" borderId="45" xfId="0" applyNumberFormat="1" applyFill="1" applyBorder="1" applyAlignment="1">
      <alignment vertical="center"/>
    </xf>
    <xf numFmtId="164" fontId="0" fillId="0" borderId="51" xfId="1" applyNumberFormat="1" applyFont="1" applyBorder="1"/>
    <xf numFmtId="164" fontId="0" fillId="0" borderId="49" xfId="1" applyNumberFormat="1" applyFont="1" applyBorder="1"/>
    <xf numFmtId="164" fontId="0" fillId="0" borderId="39" xfId="1" applyNumberFormat="1" applyFont="1" applyBorder="1"/>
    <xf numFmtId="164" fontId="0" fillId="0" borderId="50" xfId="1" applyNumberFormat="1" applyFont="1" applyBorder="1"/>
    <xf numFmtId="0" fontId="2" fillId="5" borderId="51" xfId="2" applyFont="1" applyFill="1" applyBorder="1" applyAlignment="1">
      <alignment horizontal="center" vertical="center"/>
    </xf>
    <xf numFmtId="164" fontId="0" fillId="0" borderId="47" xfId="1" applyNumberFormat="1" applyFont="1" applyBorder="1"/>
    <xf numFmtId="164" fontId="0" fillId="0" borderId="48" xfId="1" applyNumberFormat="1" applyFont="1" applyBorder="1"/>
    <xf numFmtId="164" fontId="0" fillId="0" borderId="52" xfId="1" applyNumberFormat="1" applyFont="1" applyBorder="1"/>
    <xf numFmtId="164" fontId="0" fillId="0" borderId="53" xfId="1" applyNumberFormat="1" applyFont="1" applyBorder="1"/>
    <xf numFmtId="164" fontId="0" fillId="0" borderId="54" xfId="1" applyNumberFormat="1" applyFont="1" applyBorder="1"/>
    <xf numFmtId="44" fontId="4" fillId="0" borderId="35" xfId="3" applyNumberFormat="1" applyFont="1" applyFill="1" applyBorder="1"/>
    <xf numFmtId="44" fontId="0" fillId="0" borderId="21" xfId="0" applyNumberFormat="1" applyBorder="1"/>
    <xf numFmtId="164" fontId="0" fillId="0" borderId="29" xfId="1" applyNumberFormat="1" applyFont="1" applyBorder="1"/>
    <xf numFmtId="166" fontId="0" fillId="3" borderId="5" xfId="0" applyNumberFormat="1" applyFill="1" applyBorder="1" applyAlignment="1">
      <alignment vertical="center"/>
    </xf>
    <xf numFmtId="166" fontId="0" fillId="3" borderId="8" xfId="0" applyNumberFormat="1" applyFill="1" applyBorder="1" applyAlignment="1">
      <alignment vertical="center"/>
    </xf>
    <xf numFmtId="166" fontId="0" fillId="3" borderId="2" xfId="0" applyNumberFormat="1" applyFill="1" applyBorder="1" applyAlignment="1">
      <alignment vertical="center"/>
    </xf>
    <xf numFmtId="166" fontId="0" fillId="3" borderId="49" xfId="0" applyNumberFormat="1" applyFill="1" applyBorder="1" applyAlignment="1">
      <alignment vertical="center"/>
    </xf>
    <xf numFmtId="166" fontId="0" fillId="3" borderId="39" xfId="0" applyNumberFormat="1" applyFill="1" applyBorder="1" applyAlignment="1">
      <alignment vertical="center"/>
    </xf>
    <xf numFmtId="166" fontId="0" fillId="3" borderId="50" xfId="0" applyNumberFormat="1" applyFill="1" applyBorder="1" applyAlignment="1">
      <alignment vertical="center"/>
    </xf>
    <xf numFmtId="166" fontId="13" fillId="3" borderId="7" xfId="0" applyNumberFormat="1" applyFont="1" applyFill="1" applyBorder="1" applyAlignment="1">
      <alignment vertical="center"/>
    </xf>
    <xf numFmtId="166" fontId="13" fillId="3" borderId="4" xfId="0" applyNumberFormat="1" applyFont="1" applyFill="1" applyBorder="1" applyAlignment="1">
      <alignment vertical="center"/>
    </xf>
    <xf numFmtId="166" fontId="13" fillId="3" borderId="1" xfId="0" applyNumberFormat="1" applyFont="1" applyFill="1" applyBorder="1" applyAlignment="1">
      <alignment vertical="center"/>
    </xf>
    <xf numFmtId="166" fontId="13" fillId="0" borderId="11" xfId="3" applyNumberFormat="1" applyFont="1" applyBorder="1" applyAlignment="1">
      <alignment vertical="center"/>
    </xf>
    <xf numFmtId="166" fontId="13" fillId="0" borderId="18" xfId="3" applyNumberFormat="1" applyFont="1" applyBorder="1" applyAlignment="1">
      <alignment vertical="center"/>
    </xf>
    <xf numFmtId="164" fontId="0" fillId="0" borderId="46" xfId="1" applyNumberFormat="1" applyFont="1" applyBorder="1"/>
    <xf numFmtId="166" fontId="0" fillId="3" borderId="0" xfId="1" applyNumberFormat="1" applyFont="1" applyFill="1" applyBorder="1" applyAlignment="1" applyProtection="1">
      <alignment vertical="center"/>
    </xf>
    <xf numFmtId="166" fontId="13" fillId="3" borderId="0" xfId="0" applyNumberFormat="1" applyFont="1" applyFill="1" applyAlignment="1">
      <alignment vertical="center"/>
    </xf>
    <xf numFmtId="0" fontId="0" fillId="3" borderId="0" xfId="0" applyFill="1" applyAlignment="1">
      <alignment vertical="center" wrapText="1"/>
    </xf>
    <xf numFmtId="43" fontId="0" fillId="3" borderId="0" xfId="1" applyFont="1" applyFill="1" applyBorder="1" applyAlignment="1" applyProtection="1">
      <alignment vertical="center" wrapText="1"/>
    </xf>
    <xf numFmtId="0" fontId="6" fillId="9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166" fontId="9" fillId="9" borderId="0" xfId="1" applyNumberFormat="1" applyFont="1" applyFill="1" applyAlignment="1" applyProtection="1">
      <alignment vertical="center"/>
    </xf>
    <xf numFmtId="0" fontId="7" fillId="0" borderId="5" xfId="0" applyFont="1" applyBorder="1" applyAlignment="1">
      <alignment horizontal="center" vertical="center"/>
    </xf>
    <xf numFmtId="43" fontId="7" fillId="0" borderId="5" xfId="1" applyFont="1" applyBorder="1" applyAlignment="1" applyProtection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5" borderId="32" xfId="2" applyFont="1" applyFill="1" applyBorder="1" applyAlignment="1">
      <alignment horizontal="center" vertical="center"/>
    </xf>
    <xf numFmtId="0" fontId="2" fillId="5" borderId="16" xfId="2" applyFont="1" applyFill="1" applyBorder="1" applyAlignment="1">
      <alignment horizontal="center" vertical="center"/>
    </xf>
    <xf numFmtId="0" fontId="2" fillId="5" borderId="15" xfId="2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 wrapText="1"/>
    </xf>
    <xf numFmtId="0" fontId="2" fillId="5" borderId="13" xfId="2" applyFont="1" applyFill="1" applyBorder="1" applyAlignment="1">
      <alignment horizontal="center" vertical="center"/>
    </xf>
    <xf numFmtId="0" fontId="2" fillId="5" borderId="14" xfId="2" applyFont="1" applyFill="1" applyBorder="1" applyAlignment="1">
      <alignment horizontal="center" vertical="center"/>
    </xf>
    <xf numFmtId="0" fontId="2" fillId="5" borderId="17" xfId="2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6" fontId="5" fillId="7" borderId="13" xfId="0" applyNumberFormat="1" applyFont="1" applyFill="1" applyBorder="1" applyAlignment="1">
      <alignment horizontal="center" vertical="center" wrapText="1"/>
    </xf>
    <xf numFmtId="166" fontId="5" fillId="7" borderId="24" xfId="0" applyNumberFormat="1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5" borderId="25" xfId="2" applyFont="1" applyFill="1" applyBorder="1" applyAlignment="1">
      <alignment horizontal="center" vertical="center"/>
    </xf>
    <xf numFmtId="0" fontId="2" fillId="5" borderId="26" xfId="2" applyFont="1" applyFill="1" applyBorder="1" applyAlignment="1">
      <alignment horizontal="center" vertical="center"/>
    </xf>
    <xf numFmtId="0" fontId="2" fillId="5" borderId="29" xfId="2" applyFont="1" applyFill="1" applyBorder="1" applyAlignment="1">
      <alignment horizontal="center" vertical="center"/>
    </xf>
    <xf numFmtId="0" fontId="2" fillId="5" borderId="38" xfId="2" applyFont="1" applyFill="1" applyBorder="1" applyAlignment="1">
      <alignment horizontal="center" vertical="center"/>
    </xf>
    <xf numFmtId="166" fontId="4" fillId="4" borderId="0" xfId="3" applyNumberFormat="1" applyFont="1" applyFill="1" applyBorder="1" applyAlignment="1">
      <alignment horizontal="center"/>
    </xf>
    <xf numFmtId="0" fontId="0" fillId="9" borderId="0" xfId="0" applyFill="1" applyAlignment="1">
      <alignment horizontal="left" vertical="center" wrapText="1"/>
    </xf>
    <xf numFmtId="0" fontId="2" fillId="5" borderId="39" xfId="0" applyFont="1" applyFill="1" applyBorder="1" applyAlignment="1">
      <alignment horizontal="center" vertical="center"/>
    </xf>
    <xf numFmtId="0" fontId="2" fillId="5" borderId="40" xfId="0" applyFont="1" applyFill="1" applyBorder="1" applyAlignment="1">
      <alignment horizontal="center" vertical="center"/>
    </xf>
    <xf numFmtId="0" fontId="2" fillId="5" borderId="36" xfId="2" applyFont="1" applyFill="1" applyBorder="1" applyAlignment="1">
      <alignment horizontal="center" vertical="center"/>
    </xf>
    <xf numFmtId="0" fontId="2" fillId="5" borderId="41" xfId="0" applyFont="1" applyFill="1" applyBorder="1" applyAlignment="1">
      <alignment horizontal="center" vertical="center"/>
    </xf>
    <xf numFmtId="166" fontId="11" fillId="7" borderId="9" xfId="0" applyNumberFormat="1" applyFont="1" applyFill="1" applyBorder="1" applyAlignment="1">
      <alignment horizontal="center" vertical="center" wrapText="1"/>
    </xf>
    <xf numFmtId="166" fontId="11" fillId="7" borderId="7" xfId="0" applyNumberFormat="1" applyFont="1" applyFill="1" applyBorder="1" applyAlignment="1">
      <alignment horizontal="center" vertical="center" wrapText="1"/>
    </xf>
    <xf numFmtId="166" fontId="11" fillId="7" borderId="20" xfId="0" applyNumberFormat="1" applyFont="1" applyFill="1" applyBorder="1" applyAlignment="1">
      <alignment horizontal="center" vertical="center" wrapText="1"/>
    </xf>
    <xf numFmtId="166" fontId="11" fillId="7" borderId="18" xfId="0" applyNumberFormat="1" applyFont="1" applyFill="1" applyBorder="1" applyAlignment="1">
      <alignment horizontal="center" vertical="center" wrapText="1"/>
    </xf>
    <xf numFmtId="166" fontId="11" fillId="7" borderId="49" xfId="0" applyNumberFormat="1" applyFont="1" applyFill="1" applyBorder="1" applyAlignment="1">
      <alignment horizontal="center" vertical="center" wrapText="1"/>
    </xf>
    <xf numFmtId="166" fontId="11" fillId="7" borderId="40" xfId="0" applyNumberFormat="1" applyFont="1" applyFill="1" applyBorder="1" applyAlignment="1">
      <alignment horizontal="center" vertical="center" wrapText="1"/>
    </xf>
    <xf numFmtId="0" fontId="2" fillId="5" borderId="42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14" fillId="4" borderId="8" xfId="1" applyNumberFormat="1" applyFont="1" applyFill="1" applyBorder="1"/>
  </cellXfs>
  <cellStyles count="5">
    <cellStyle name="Ênfase6" xfId="2" builtinId="49"/>
    <cellStyle name="Moeda 2" xfId="3" xr:uid="{00000000-0005-0000-0000-000001000000}"/>
    <cellStyle name="Moeda 2 2" xfId="4" xr:uid="{00000000-0005-0000-0000-000002000000}"/>
    <cellStyle name="Normal" xfId="0" builtinId="0"/>
    <cellStyle name="Vírgula" xfId="1" builtinId="3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R$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510540</xdr:colOff>
      <xdr:row>120</xdr:row>
      <xdr:rowOff>91440</xdr:rowOff>
    </xdr:from>
    <xdr:ext cx="5241785" cy="4131722"/>
    <xdr:pic>
      <xdr:nvPicPr>
        <xdr:cNvPr id="2" name="Espaço Reservado para Conteúdo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" y="22387560"/>
          <a:ext cx="5241785" cy="413172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2223297" cy="789038"/>
    <xdr:pic>
      <xdr:nvPicPr>
        <xdr:cNvPr id="3" name="Picture 2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223297" cy="789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808892" cy="725261"/>
    <xdr:pic>
      <xdr:nvPicPr>
        <xdr:cNvPr id="4" name="Picture 2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8892" cy="725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510540</xdr:colOff>
      <xdr:row>90</xdr:row>
      <xdr:rowOff>91440</xdr:rowOff>
    </xdr:from>
    <xdr:ext cx="5241785" cy="4131722"/>
    <xdr:pic>
      <xdr:nvPicPr>
        <xdr:cNvPr id="2" name="Espaço Reservado para Conteúdo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90" y="17626965"/>
          <a:ext cx="5241785" cy="413172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2223297" cy="789038"/>
    <xdr:pic>
      <xdr:nvPicPr>
        <xdr:cNvPr id="3" name="Picture 2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223297" cy="789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808892" cy="725261"/>
    <xdr:pic>
      <xdr:nvPicPr>
        <xdr:cNvPr id="4" name="Picture 2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8892" cy="725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510540</xdr:colOff>
      <xdr:row>92</xdr:row>
      <xdr:rowOff>91440</xdr:rowOff>
    </xdr:from>
    <xdr:ext cx="5241785" cy="4131722"/>
    <xdr:pic>
      <xdr:nvPicPr>
        <xdr:cNvPr id="2" name="Espaço Reservado para Conteúdo 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190" y="18141315"/>
          <a:ext cx="5241785" cy="4131722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0</xdr:row>
      <xdr:rowOff>0</xdr:rowOff>
    </xdr:from>
    <xdr:ext cx="12001500" cy="762000"/>
    <xdr:pic>
      <xdr:nvPicPr>
        <xdr:cNvPr id="3" name="Picture 2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20015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808892" cy="725261"/>
    <xdr:pic>
      <xdr:nvPicPr>
        <xdr:cNvPr id="4" name="Picture 2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8892" cy="7252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510540</xdr:colOff>
      <xdr:row>82</xdr:row>
      <xdr:rowOff>91440</xdr:rowOff>
    </xdr:from>
    <xdr:ext cx="5241785" cy="4131722"/>
    <xdr:pic>
      <xdr:nvPicPr>
        <xdr:cNvPr id="2" name="Espaço Reservado para Conteúdo 9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8240" y="17602200"/>
          <a:ext cx="5241785" cy="4131722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0</xdr:row>
      <xdr:rowOff>0</xdr:rowOff>
    </xdr:from>
    <xdr:ext cx="16946880" cy="556260"/>
    <xdr:pic>
      <xdr:nvPicPr>
        <xdr:cNvPr id="3" name="Picture 2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0"/>
          <a:ext cx="1694688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30480</xdr:colOff>
      <xdr:row>0</xdr:row>
      <xdr:rowOff>38101</xdr:rowOff>
    </xdr:from>
    <xdr:ext cx="670560" cy="548640"/>
    <xdr:pic>
      <xdr:nvPicPr>
        <xdr:cNvPr id="4" name="Picture 2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8101"/>
          <a:ext cx="67056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510540</xdr:colOff>
      <xdr:row>82</xdr:row>
      <xdr:rowOff>91440</xdr:rowOff>
    </xdr:from>
    <xdr:ext cx="5241785" cy="4131722"/>
    <xdr:pic>
      <xdr:nvPicPr>
        <xdr:cNvPr id="2" name="Espaço Reservado para Conteúdo 9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" y="16922115"/>
          <a:ext cx="5241785" cy="4131722"/>
        </a:xfrm>
        <a:prstGeom prst="rect">
          <a:avLst/>
        </a:prstGeom>
      </xdr:spPr>
    </xdr:pic>
    <xdr:clientData/>
  </xdr:oneCellAnchor>
  <xdr:oneCellAnchor>
    <xdr:from>
      <xdr:col>1</xdr:col>
      <xdr:colOff>114300</xdr:colOff>
      <xdr:row>0</xdr:row>
      <xdr:rowOff>0</xdr:rowOff>
    </xdr:from>
    <xdr:ext cx="16946880" cy="556260"/>
    <xdr:pic>
      <xdr:nvPicPr>
        <xdr:cNvPr id="3" name="Picture 2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0"/>
          <a:ext cx="16946880" cy="556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30480</xdr:colOff>
      <xdr:row>0</xdr:row>
      <xdr:rowOff>38101</xdr:rowOff>
    </xdr:from>
    <xdr:ext cx="670560" cy="548640"/>
    <xdr:pic>
      <xdr:nvPicPr>
        <xdr:cNvPr id="4" name="Picture 2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8101"/>
          <a:ext cx="67056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84" displayName="Tabela84" ref="C37:M54" totalsRowShown="0" headerRowDxfId="69" dataDxfId="67" headerRowBorderDxfId="68">
  <tableColumns count="11">
    <tableColumn id="1" xr3:uid="{00000000-0010-0000-0000-000001000000}" name="TITULAÇÃO PORTAL DE TRANSPARÊNCIA UEA" dataDxfId="66" dataCellStyle="Vírgula"/>
    <tableColumn id="2" xr3:uid="{00000000-0010-0000-0000-000002000000}" name="DESCRIÇÃO " dataDxfId="65" dataCellStyle="Vírgula"/>
    <tableColumn id="3" xr3:uid="{00000000-0010-0000-0000-000003000000}" name="88" dataDxfId="64" dataCellStyle="Moeda 2"/>
    <tableColumn id="4" xr3:uid="{00000000-0010-0000-0000-000004000000}" name="70" dataDxfId="63" dataCellStyle="Moeda 2"/>
    <tableColumn id="9" xr3:uid="{00000000-0010-0000-0000-000009000000}" name="56" dataDxfId="62" dataCellStyle="Moeda 2"/>
    <tableColumn id="5" xr3:uid="{00000000-0010-0000-0000-000005000000}" name="44" dataDxfId="61" dataCellStyle="Moeda 2"/>
    <tableColumn id="6" xr3:uid="{00000000-0010-0000-0000-000006000000}" name="42" dataDxfId="60" dataCellStyle="Moeda 2"/>
    <tableColumn id="7" xr3:uid="{00000000-0010-0000-0000-000007000000}" name="28" dataDxfId="59" dataCellStyle="Moeda 2"/>
    <tableColumn id="8" xr3:uid="{00000000-0010-0000-0000-000008000000}" name="14" dataDxfId="58" dataCellStyle="Moeda 2"/>
    <tableColumn id="10" xr3:uid="{00000000-0010-0000-0000-00000A000000}" name="4" dataDxfId="57"/>
    <tableColumn id="11" xr3:uid="{00000000-0010-0000-0000-00000B000000}" name="Colunas1" dataDxfId="5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835" displayName="Tabela835" ref="C7:M24" totalsRowShown="0" headerRowDxfId="55" dataDxfId="53" headerRowBorderDxfId="54">
  <tableColumns count="11">
    <tableColumn id="1" xr3:uid="{00000000-0010-0000-0100-000001000000}" name="TITULAÇÃO PORTAL DE TRANSPARÊNCIA UEA" dataDxfId="52" dataCellStyle="Vírgula"/>
    <tableColumn id="2" xr3:uid="{00000000-0010-0000-0100-000002000000}" name="DESCRIÇÃO " dataDxfId="51" dataCellStyle="Vírgula"/>
    <tableColumn id="3" xr3:uid="{00000000-0010-0000-0100-000003000000}" name="88" dataDxfId="50" dataCellStyle="Moeda 2"/>
    <tableColumn id="4" xr3:uid="{00000000-0010-0000-0100-000004000000}" name="70" dataDxfId="49" dataCellStyle="Moeda 2"/>
    <tableColumn id="9" xr3:uid="{00000000-0010-0000-0100-000009000000}" name="56" dataDxfId="48" dataCellStyle="Moeda 2"/>
    <tableColumn id="5" xr3:uid="{00000000-0010-0000-0100-000005000000}" name="44" dataDxfId="47" dataCellStyle="Moeda 2"/>
    <tableColumn id="6" xr3:uid="{00000000-0010-0000-0100-000006000000}" name="42" dataDxfId="46" dataCellStyle="Moeda 2"/>
    <tableColumn id="7" xr3:uid="{00000000-0010-0000-0100-000007000000}" name="28" dataDxfId="45" dataCellStyle="Moeda 2"/>
    <tableColumn id="8" xr3:uid="{00000000-0010-0000-0100-000008000000}" name="14" dataDxfId="44" dataCellStyle="Moeda 2"/>
    <tableColumn id="10" xr3:uid="{00000000-0010-0000-0100-00000A000000}" name="4" dataDxfId="43"/>
    <tableColumn id="11" xr3:uid="{00000000-0010-0000-0100-00000B000000}" name="Colunas1" dataDxfId="42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86" displayName="Tabela86" ref="C9:M26" totalsRowShown="0" headerRowDxfId="41" dataDxfId="39" headerRowBorderDxfId="40">
  <tableColumns count="11">
    <tableColumn id="1" xr3:uid="{00000000-0010-0000-0200-000001000000}" name="TITULAÇÃO PORTAL DE TRANSPARÊNCIA UEA" dataDxfId="38" dataCellStyle="Vírgula"/>
    <tableColumn id="2" xr3:uid="{00000000-0010-0000-0200-000002000000}" name="DESCRIÇÃO " dataDxfId="37" dataCellStyle="Vírgula"/>
    <tableColumn id="3" xr3:uid="{00000000-0010-0000-0200-000003000000}" name="88" dataDxfId="36" dataCellStyle="Moeda 2"/>
    <tableColumn id="4" xr3:uid="{00000000-0010-0000-0200-000004000000}" name="70" dataDxfId="35" dataCellStyle="Moeda 2"/>
    <tableColumn id="9" xr3:uid="{00000000-0010-0000-0200-000009000000}" name="56" dataDxfId="34" dataCellStyle="Moeda 2"/>
    <tableColumn id="5" xr3:uid="{00000000-0010-0000-0200-000005000000}" name="44" dataDxfId="33" dataCellStyle="Moeda 2"/>
    <tableColumn id="6" xr3:uid="{00000000-0010-0000-0200-000006000000}" name="42" dataDxfId="32" dataCellStyle="Moeda 2"/>
    <tableColumn id="7" xr3:uid="{00000000-0010-0000-0200-000007000000}" name="28" dataDxfId="31" dataCellStyle="Moeda 2">
      <calculatedColumnFormula>Tabela86[[#This Row],[Colunas1]]*Tabela86[[#Headers],[28]]</calculatedColumnFormula>
    </tableColumn>
    <tableColumn id="8" xr3:uid="{00000000-0010-0000-0200-000008000000}" name="14" dataDxfId="30" dataCellStyle="Moeda 2">
      <calculatedColumnFormula>Tabela86[[#This Row],[Colunas1]]*Tabela86[[#Headers],[14]]</calculatedColumnFormula>
    </tableColumn>
    <tableColumn id="10" xr3:uid="{00000000-0010-0000-0200-00000A000000}" name="4" dataDxfId="29">
      <calculatedColumnFormula>Tabela86[[#This Row],[Colunas1]]*Tabela86[[#Headers],[4]]</calculatedColumnFormula>
    </tableColumn>
    <tableColumn id="11" xr3:uid="{00000000-0010-0000-0200-00000B000000}" name="Colunas1" dataDxfId="28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83" displayName="Tabela83" ref="B10:L27" totalsRowShown="0" headerRowDxfId="27" dataDxfId="25" headerRowBorderDxfId="26">
  <tableColumns count="11">
    <tableColumn id="1" xr3:uid="{00000000-0010-0000-0300-000001000000}" name="TITULAÇÃO PORTAL DE TRANSPARÊNCIA UEA" dataDxfId="24" dataCellStyle="Vírgula"/>
    <tableColumn id="2" xr3:uid="{00000000-0010-0000-0300-000002000000}" name="DESCRIÇÃO " dataDxfId="23" dataCellStyle="Vírgula"/>
    <tableColumn id="3" xr3:uid="{00000000-0010-0000-0300-000003000000}" name="88" dataDxfId="22" dataCellStyle="Moeda 2"/>
    <tableColumn id="4" xr3:uid="{00000000-0010-0000-0300-000004000000}" name="70" dataDxfId="21" dataCellStyle="Moeda 2"/>
    <tableColumn id="9" xr3:uid="{00000000-0010-0000-0300-000009000000}" name="56" dataDxfId="20" dataCellStyle="Moeda 2"/>
    <tableColumn id="5" xr3:uid="{00000000-0010-0000-0300-000005000000}" name="44" dataDxfId="19" dataCellStyle="Moeda 2"/>
    <tableColumn id="6" xr3:uid="{00000000-0010-0000-0300-000006000000}" name="42" dataDxfId="18" dataCellStyle="Moeda 2"/>
    <tableColumn id="7" xr3:uid="{00000000-0010-0000-0300-000007000000}" name="28" dataDxfId="17" dataCellStyle="Moeda 2">
      <calculatedColumnFormula>Tabela83[[#This Row],[Coluna1]]*Tabela83[[#Headers],[28]]</calculatedColumnFormula>
    </tableColumn>
    <tableColumn id="8" xr3:uid="{00000000-0010-0000-0300-000008000000}" name="14" dataDxfId="16" dataCellStyle="Moeda 2">
      <calculatedColumnFormula>Tabela83[[#This Row],[Coluna1]]*Tabela83[[#Headers],[14]]</calculatedColumnFormula>
    </tableColumn>
    <tableColumn id="10" xr3:uid="{00000000-0010-0000-0300-00000A000000}" name="4" dataDxfId="15">
      <calculatedColumnFormula>Tabela83[[#This Row],[Coluna1]]*Tabela83[[#Headers],[4]]</calculatedColumnFormula>
    </tableColumn>
    <tableColumn id="11" xr3:uid="{00000000-0010-0000-0300-00000B000000}" name="Coluna1" dataDxfId="14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ela8357" displayName="Tabela8357" ref="B10:L27" totalsRowShown="0" headerRowDxfId="13" dataDxfId="11" headerRowBorderDxfId="12">
  <tableColumns count="11">
    <tableColumn id="1" xr3:uid="{00000000-0010-0000-0400-000001000000}" name="TITULAÇÃO PORTAL DE TRANSPARÊNCIA UEA" dataDxfId="10" dataCellStyle="Vírgula"/>
    <tableColumn id="2" xr3:uid="{00000000-0010-0000-0400-000002000000}" name="DESCRIÇÃO " dataDxfId="9" dataCellStyle="Vírgula"/>
    <tableColumn id="3" xr3:uid="{00000000-0010-0000-0400-000003000000}" name="88" dataDxfId="8" dataCellStyle="Moeda 2"/>
    <tableColumn id="4" xr3:uid="{00000000-0010-0000-0400-000004000000}" name="70" dataDxfId="7" dataCellStyle="Moeda 2"/>
    <tableColumn id="9" xr3:uid="{00000000-0010-0000-0400-000009000000}" name="56" dataDxfId="6" dataCellStyle="Moeda 2"/>
    <tableColumn id="5" xr3:uid="{00000000-0010-0000-0400-000005000000}" name="44" dataDxfId="5" dataCellStyle="Moeda 2"/>
    <tableColumn id="6" xr3:uid="{00000000-0010-0000-0400-000006000000}" name="42" dataDxfId="4" dataCellStyle="Moeda 2"/>
    <tableColumn id="7" xr3:uid="{00000000-0010-0000-0400-000007000000}" name="28" dataDxfId="3" dataCellStyle="Moeda 2"/>
    <tableColumn id="8" xr3:uid="{00000000-0010-0000-0400-000008000000}" name="14" dataDxfId="2" dataCellStyle="Moeda 2"/>
    <tableColumn id="10" xr3:uid="{00000000-0010-0000-0400-00000A000000}" name="4" dataDxfId="1"/>
    <tableColumn id="11" xr3:uid="{00000000-0010-0000-0400-00000B000000}" name="Colunas1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6:Q84"/>
  <sheetViews>
    <sheetView showGridLines="0" zoomScale="80" zoomScaleNormal="80" workbookViewId="0">
      <selection activeCell="P55" sqref="P55"/>
    </sheetView>
  </sheetViews>
  <sheetFormatPr defaultColWidth="9.453125" defaultRowHeight="14.5" x14ac:dyDescent="0.35"/>
  <cols>
    <col min="1" max="2" width="9.453125" style="1"/>
    <col min="3" max="3" width="41.54296875" style="1" bestFit="1" customWidth="1"/>
    <col min="4" max="4" width="33.6328125" style="1" customWidth="1"/>
    <col min="5" max="6" width="14.26953125" style="2" bestFit="1" customWidth="1"/>
    <col min="7" max="7" width="14.36328125" style="2" bestFit="1" customWidth="1"/>
    <col min="8" max="8" width="14.26953125" style="2" bestFit="1" customWidth="1"/>
    <col min="9" max="11" width="14.36328125" style="2" bestFit="1" customWidth="1"/>
    <col min="12" max="12" width="13" style="2" bestFit="1" customWidth="1"/>
    <col min="13" max="13" width="12.36328125" style="1" bestFit="1" customWidth="1"/>
    <col min="14" max="14" width="6.08984375" style="1" customWidth="1"/>
    <col min="15" max="15" width="17.6328125" style="1" customWidth="1"/>
    <col min="16" max="16" width="21" style="1" customWidth="1"/>
    <col min="17" max="17" width="21" style="1" bestFit="1" customWidth="1"/>
    <col min="18" max="16384" width="9.453125" style="1"/>
  </cols>
  <sheetData>
    <row r="6" spans="3:12" s="90" customFormat="1" x14ac:dyDescent="0.35">
      <c r="C6" s="207" t="s">
        <v>84</v>
      </c>
      <c r="D6" s="207"/>
      <c r="E6" s="208" t="s">
        <v>85</v>
      </c>
      <c r="F6" s="208"/>
      <c r="G6" s="208"/>
      <c r="H6" s="208"/>
      <c r="I6" s="208"/>
      <c r="J6" s="208"/>
      <c r="K6" s="208"/>
      <c r="L6" s="208"/>
    </row>
    <row r="7" spans="3:12" s="90" customFormat="1" x14ac:dyDescent="0.35">
      <c r="C7" s="88" t="s">
        <v>86</v>
      </c>
      <c r="D7" s="88" t="s">
        <v>87</v>
      </c>
      <c r="E7" s="89">
        <v>88</v>
      </c>
      <c r="F7" s="89">
        <v>70</v>
      </c>
      <c r="G7" s="89">
        <v>56</v>
      </c>
      <c r="H7" s="89">
        <v>42</v>
      </c>
      <c r="I7" s="89">
        <v>28</v>
      </c>
      <c r="J7" s="89">
        <v>14</v>
      </c>
      <c r="K7" s="89">
        <v>4</v>
      </c>
      <c r="L7" s="89" t="s">
        <v>7</v>
      </c>
    </row>
    <row r="8" spans="3:12" x14ac:dyDescent="0.35">
      <c r="C8" s="91"/>
      <c r="D8" s="91" t="s">
        <v>88</v>
      </c>
      <c r="E8" s="92">
        <v>8009.81</v>
      </c>
      <c r="F8" s="92">
        <f t="shared" ref="F8:K8" si="0">F7*$L$8</f>
        <v>6371.4397727272735</v>
      </c>
      <c r="G8" s="92">
        <f t="shared" si="0"/>
        <v>5097.1518181818192</v>
      </c>
      <c r="H8" s="92">
        <f t="shared" si="0"/>
        <v>3822.8638636363639</v>
      </c>
      <c r="I8" s="92">
        <f t="shared" si="0"/>
        <v>2548.5759090909096</v>
      </c>
      <c r="J8" s="92">
        <f t="shared" si="0"/>
        <v>1274.2879545454548</v>
      </c>
      <c r="K8" s="92">
        <f t="shared" si="0"/>
        <v>364.08227272727277</v>
      </c>
      <c r="L8" s="92">
        <f t="shared" ref="L8:L19" si="1">E8/$E$7</f>
        <v>91.020568181818192</v>
      </c>
    </row>
    <row r="9" spans="3:12" x14ac:dyDescent="0.35">
      <c r="C9" s="91" t="s">
        <v>51</v>
      </c>
      <c r="D9" s="91" t="s">
        <v>89</v>
      </c>
      <c r="E9" s="92">
        <v>9985.74</v>
      </c>
      <c r="F9" s="92">
        <f t="shared" ref="F9:K19" si="2">F$7*$L9</f>
        <v>7943.2022727272724</v>
      </c>
      <c r="G9" s="92">
        <f t="shared" si="2"/>
        <v>6354.5618181818181</v>
      </c>
      <c r="H9" s="92">
        <f t="shared" si="2"/>
        <v>4765.9213636363638</v>
      </c>
      <c r="I9" s="92">
        <f t="shared" si="2"/>
        <v>3177.2809090909091</v>
      </c>
      <c r="J9" s="92">
        <f t="shared" si="2"/>
        <v>1588.6404545454545</v>
      </c>
      <c r="K9" s="92">
        <f t="shared" si="2"/>
        <v>453.89727272727271</v>
      </c>
      <c r="L9" s="92">
        <f t="shared" si="1"/>
        <v>113.47431818181818</v>
      </c>
    </row>
    <row r="10" spans="3:12" x14ac:dyDescent="0.35">
      <c r="C10" s="91" t="s">
        <v>49</v>
      </c>
      <c r="D10" s="91" t="s">
        <v>90</v>
      </c>
      <c r="E10" s="92">
        <v>10285.33</v>
      </c>
      <c r="F10" s="92">
        <f t="shared" si="2"/>
        <v>8181.5124999999998</v>
      </c>
      <c r="G10" s="92">
        <f t="shared" si="2"/>
        <v>6545.21</v>
      </c>
      <c r="H10" s="92">
        <f t="shared" si="2"/>
        <v>4908.9075000000003</v>
      </c>
      <c r="I10" s="92">
        <f t="shared" si="2"/>
        <v>3272.605</v>
      </c>
      <c r="J10" s="92">
        <f t="shared" si="2"/>
        <v>1636.3025</v>
      </c>
      <c r="K10" s="92">
        <f t="shared" si="2"/>
        <v>467.51499999999999</v>
      </c>
      <c r="L10" s="92">
        <f t="shared" si="1"/>
        <v>116.87875</v>
      </c>
    </row>
    <row r="11" spans="3:12" x14ac:dyDescent="0.35">
      <c r="C11" s="91" t="s">
        <v>47</v>
      </c>
      <c r="D11" s="91" t="s">
        <v>91</v>
      </c>
      <c r="E11" s="92">
        <v>10593.88</v>
      </c>
      <c r="F11" s="92">
        <f t="shared" si="2"/>
        <v>8426.9499999999989</v>
      </c>
      <c r="G11" s="92">
        <f t="shared" si="2"/>
        <v>6741.5599999999995</v>
      </c>
      <c r="H11" s="92">
        <f t="shared" si="2"/>
        <v>5056.17</v>
      </c>
      <c r="I11" s="92">
        <f t="shared" si="2"/>
        <v>3370.7799999999997</v>
      </c>
      <c r="J11" s="92">
        <f t="shared" si="2"/>
        <v>1685.3899999999999</v>
      </c>
      <c r="K11" s="92">
        <f t="shared" si="2"/>
        <v>481.53999999999996</v>
      </c>
      <c r="L11" s="92">
        <f t="shared" si="1"/>
        <v>120.38499999999999</v>
      </c>
    </row>
    <row r="12" spans="3:12" x14ac:dyDescent="0.35">
      <c r="C12" s="91" t="s">
        <v>45</v>
      </c>
      <c r="D12" s="91" t="s">
        <v>92</v>
      </c>
      <c r="E12" s="92">
        <v>10911.69</v>
      </c>
      <c r="F12" s="92">
        <f t="shared" si="2"/>
        <v>8679.7534090909085</v>
      </c>
      <c r="G12" s="92">
        <f t="shared" si="2"/>
        <v>6943.8027272727277</v>
      </c>
      <c r="H12" s="92">
        <f t="shared" si="2"/>
        <v>5207.852045454546</v>
      </c>
      <c r="I12" s="92">
        <f t="shared" si="2"/>
        <v>3471.9013636363638</v>
      </c>
      <c r="J12" s="92">
        <f t="shared" si="2"/>
        <v>1735.9506818181819</v>
      </c>
      <c r="K12" s="92">
        <f t="shared" si="2"/>
        <v>495.9859090909091</v>
      </c>
      <c r="L12" s="92">
        <f t="shared" si="1"/>
        <v>123.99647727272728</v>
      </c>
    </row>
    <row r="13" spans="3:12" x14ac:dyDescent="0.35">
      <c r="C13" s="91" t="s">
        <v>43</v>
      </c>
      <c r="D13" s="91" t="s">
        <v>93</v>
      </c>
      <c r="E13" s="92">
        <v>12729.44</v>
      </c>
      <c r="F13" s="92">
        <f t="shared" si="2"/>
        <v>10125.690909090908</v>
      </c>
      <c r="G13" s="92">
        <f t="shared" si="2"/>
        <v>8100.5527272727277</v>
      </c>
      <c r="H13" s="92">
        <f t="shared" si="2"/>
        <v>6075.414545454546</v>
      </c>
      <c r="I13" s="92">
        <f t="shared" si="2"/>
        <v>4050.2763636363638</v>
      </c>
      <c r="J13" s="92">
        <f t="shared" si="2"/>
        <v>2025.1381818181819</v>
      </c>
      <c r="K13" s="92">
        <f t="shared" si="2"/>
        <v>578.6109090909091</v>
      </c>
      <c r="L13" s="92">
        <f t="shared" si="1"/>
        <v>144.65272727272728</v>
      </c>
    </row>
    <row r="14" spans="3:12" x14ac:dyDescent="0.35">
      <c r="C14" s="91" t="s">
        <v>41</v>
      </c>
      <c r="D14" s="91" t="s">
        <v>94</v>
      </c>
      <c r="E14" s="92">
        <v>13111.34</v>
      </c>
      <c r="F14" s="92">
        <f t="shared" si="2"/>
        <v>10429.475</v>
      </c>
      <c r="G14" s="92">
        <f t="shared" si="2"/>
        <v>8343.58</v>
      </c>
      <c r="H14" s="92">
        <f t="shared" si="2"/>
        <v>6257.6850000000004</v>
      </c>
      <c r="I14" s="92">
        <f t="shared" si="2"/>
        <v>4171.79</v>
      </c>
      <c r="J14" s="92">
        <f t="shared" si="2"/>
        <v>2085.895</v>
      </c>
      <c r="K14" s="92">
        <f t="shared" si="2"/>
        <v>595.97</v>
      </c>
      <c r="L14" s="92">
        <f t="shared" si="1"/>
        <v>148.99250000000001</v>
      </c>
    </row>
    <row r="15" spans="3:12" x14ac:dyDescent="0.35">
      <c r="C15" s="91" t="s">
        <v>39</v>
      </c>
      <c r="D15" s="91" t="s">
        <v>95</v>
      </c>
      <c r="E15" s="93">
        <v>13504.65</v>
      </c>
      <c r="F15" s="93">
        <f t="shared" si="2"/>
        <v>10742.335227272728</v>
      </c>
      <c r="G15" s="93">
        <f t="shared" si="2"/>
        <v>8593.8681818181831</v>
      </c>
      <c r="H15" s="93">
        <f t="shared" si="2"/>
        <v>6445.4011363636364</v>
      </c>
      <c r="I15" s="93">
        <f t="shared" si="2"/>
        <v>4296.9340909090915</v>
      </c>
      <c r="J15" s="93">
        <f t="shared" si="2"/>
        <v>2148.4670454545458</v>
      </c>
      <c r="K15" s="93">
        <f t="shared" si="2"/>
        <v>613.8477272727273</v>
      </c>
      <c r="L15" s="93">
        <f t="shared" si="1"/>
        <v>153.46193181818182</v>
      </c>
    </row>
    <row r="16" spans="3:12" x14ac:dyDescent="0.35">
      <c r="C16" s="91" t="s">
        <v>37</v>
      </c>
      <c r="D16" s="91" t="s">
        <v>96</v>
      </c>
      <c r="E16" s="92">
        <v>13909.79</v>
      </c>
      <c r="F16" s="92">
        <f t="shared" si="2"/>
        <v>11064.605681818182</v>
      </c>
      <c r="G16" s="92">
        <f t="shared" si="2"/>
        <v>8851.6845454545455</v>
      </c>
      <c r="H16" s="92">
        <f t="shared" si="2"/>
        <v>6638.7634090909087</v>
      </c>
      <c r="I16" s="92">
        <f t="shared" si="2"/>
        <v>4425.8422727272728</v>
      </c>
      <c r="J16" s="92">
        <f t="shared" si="2"/>
        <v>2212.9211363636364</v>
      </c>
      <c r="K16" s="92">
        <f t="shared" si="2"/>
        <v>632.26318181818181</v>
      </c>
      <c r="L16" s="92">
        <f t="shared" si="1"/>
        <v>158.06579545454545</v>
      </c>
    </row>
    <row r="17" spans="3:12" x14ac:dyDescent="0.35">
      <c r="C17" s="91" t="s">
        <v>35</v>
      </c>
      <c r="D17" s="91" t="s">
        <v>97</v>
      </c>
      <c r="E17" s="92">
        <v>16500.77</v>
      </c>
      <c r="F17" s="92">
        <f t="shared" si="2"/>
        <v>13125.612499999999</v>
      </c>
      <c r="G17" s="92">
        <f t="shared" si="2"/>
        <v>10500.49</v>
      </c>
      <c r="H17" s="92">
        <f t="shared" si="2"/>
        <v>7875.3674999999994</v>
      </c>
      <c r="I17" s="92">
        <f t="shared" si="2"/>
        <v>5250.2449999999999</v>
      </c>
      <c r="J17" s="92">
        <f t="shared" si="2"/>
        <v>2625.1224999999999</v>
      </c>
      <c r="K17" s="92">
        <f t="shared" si="2"/>
        <v>750.03499999999997</v>
      </c>
      <c r="L17" s="92">
        <f t="shared" si="1"/>
        <v>187.50874999999999</v>
      </c>
    </row>
    <row r="18" spans="3:12" x14ac:dyDescent="0.35">
      <c r="C18" s="91" t="s">
        <v>33</v>
      </c>
      <c r="D18" s="91" t="s">
        <v>98</v>
      </c>
      <c r="E18" s="92">
        <v>16995.810000000001</v>
      </c>
      <c r="F18" s="92">
        <f t="shared" si="2"/>
        <v>13519.394318181819</v>
      </c>
      <c r="G18" s="92">
        <f t="shared" si="2"/>
        <v>10815.515454545455</v>
      </c>
      <c r="H18" s="92">
        <f t="shared" si="2"/>
        <v>8111.6365909090919</v>
      </c>
      <c r="I18" s="92">
        <f t="shared" si="2"/>
        <v>5407.7577272727276</v>
      </c>
      <c r="J18" s="92">
        <f t="shared" si="2"/>
        <v>2703.8788636363638</v>
      </c>
      <c r="K18" s="92">
        <f t="shared" si="2"/>
        <v>772.53681818181826</v>
      </c>
      <c r="L18" s="92">
        <f t="shared" si="1"/>
        <v>193.13420454545457</v>
      </c>
    </row>
    <row r="19" spans="3:12" x14ac:dyDescent="0.35">
      <c r="C19" s="91" t="s">
        <v>31</v>
      </c>
      <c r="D19" s="91" t="s">
        <v>99</v>
      </c>
      <c r="E19" s="92">
        <v>17505.669999999998</v>
      </c>
      <c r="F19" s="92">
        <f t="shared" si="2"/>
        <v>13924.964772727271</v>
      </c>
      <c r="G19" s="92">
        <f t="shared" si="2"/>
        <v>11139.971818181817</v>
      </c>
      <c r="H19" s="92">
        <f t="shared" si="2"/>
        <v>8354.9788636363628</v>
      </c>
      <c r="I19" s="92">
        <f t="shared" si="2"/>
        <v>5569.9859090909085</v>
      </c>
      <c r="J19" s="92">
        <f t="shared" si="2"/>
        <v>2784.9929545454543</v>
      </c>
      <c r="K19" s="92">
        <f t="shared" si="2"/>
        <v>795.71227272727265</v>
      </c>
      <c r="L19" s="92">
        <f t="shared" si="1"/>
        <v>198.92806818181816</v>
      </c>
    </row>
    <row r="20" spans="3:12" x14ac:dyDescent="0.35">
      <c r="C20" s="91" t="s">
        <v>29</v>
      </c>
      <c r="D20" s="91" t="s">
        <v>100</v>
      </c>
      <c r="E20" s="92">
        <v>0</v>
      </c>
      <c r="F20" s="92">
        <v>14342.71</v>
      </c>
      <c r="G20" s="92">
        <f>G$7*$L20</f>
        <v>11474.168</v>
      </c>
      <c r="H20" s="92">
        <f>H$7*$L20</f>
        <v>8605.6259999999984</v>
      </c>
      <c r="I20" s="92">
        <f>I$7*$L20</f>
        <v>5737.0839999999998</v>
      </c>
      <c r="J20" s="92">
        <f>J$7*$L20</f>
        <v>2868.5419999999999</v>
      </c>
      <c r="K20" s="92">
        <f>K$7*$L20</f>
        <v>819.5834285714285</v>
      </c>
      <c r="L20" s="92">
        <f>F20/$F$7</f>
        <v>204.89585714285712</v>
      </c>
    </row>
    <row r="21" spans="3:12" x14ac:dyDescent="0.35">
      <c r="C21" s="91" t="s">
        <v>27</v>
      </c>
      <c r="D21" s="91" t="s">
        <v>101</v>
      </c>
      <c r="E21" s="92">
        <v>0</v>
      </c>
      <c r="F21" s="92">
        <v>0</v>
      </c>
      <c r="G21" s="92">
        <v>0</v>
      </c>
      <c r="H21" s="92">
        <v>11073.73</v>
      </c>
      <c r="I21" s="92">
        <f>I$7*$L21</f>
        <v>7382.4866666666658</v>
      </c>
      <c r="J21" s="92">
        <f>J$7*$L21</f>
        <v>3691.2433333333329</v>
      </c>
      <c r="K21" s="92">
        <f>K$7*$L21</f>
        <v>1054.6409523809523</v>
      </c>
      <c r="L21" s="92">
        <f>H21/$H$7</f>
        <v>263.66023809523807</v>
      </c>
    </row>
    <row r="22" spans="3:12" x14ac:dyDescent="0.35">
      <c r="C22" s="91"/>
      <c r="D22" s="91" t="s">
        <v>102</v>
      </c>
      <c r="E22" s="92">
        <v>0</v>
      </c>
      <c r="F22" s="92">
        <v>0</v>
      </c>
      <c r="G22" s="92">
        <v>0</v>
      </c>
      <c r="H22" s="92">
        <v>0</v>
      </c>
      <c r="I22" s="92">
        <v>7919</v>
      </c>
      <c r="J22" s="92">
        <f t="shared" ref="J22:K24" si="3">J$7*$L22</f>
        <v>3959.5</v>
      </c>
      <c r="K22" s="92">
        <f t="shared" si="3"/>
        <v>1131.2857142857142</v>
      </c>
      <c r="L22" s="92">
        <f>I22/$I$7</f>
        <v>282.82142857142856</v>
      </c>
    </row>
    <row r="23" spans="3:12" x14ac:dyDescent="0.35">
      <c r="C23" s="91"/>
      <c r="D23" s="91" t="s">
        <v>103</v>
      </c>
      <c r="E23" s="92">
        <v>0</v>
      </c>
      <c r="F23" s="92">
        <v>0</v>
      </c>
      <c r="G23" s="92">
        <v>0</v>
      </c>
      <c r="H23" s="92">
        <v>0</v>
      </c>
      <c r="I23" s="92">
        <v>8455.52</v>
      </c>
      <c r="J23" s="92">
        <f t="shared" si="3"/>
        <v>4227.76</v>
      </c>
      <c r="K23" s="92">
        <f t="shared" si="3"/>
        <v>1207.9314285714286</v>
      </c>
      <c r="L23" s="92">
        <f>I23/$I$7</f>
        <v>301.98285714285714</v>
      </c>
    </row>
    <row r="24" spans="3:12" x14ac:dyDescent="0.35">
      <c r="C24" s="91"/>
      <c r="D24" s="91" t="s">
        <v>104</v>
      </c>
      <c r="E24" s="92">
        <v>0</v>
      </c>
      <c r="F24" s="92">
        <v>0</v>
      </c>
      <c r="G24" s="92">
        <v>0</v>
      </c>
      <c r="H24" s="92">
        <v>0</v>
      </c>
      <c r="I24" s="92">
        <v>8601.09</v>
      </c>
      <c r="J24" s="92">
        <f t="shared" si="3"/>
        <v>4300.5450000000001</v>
      </c>
      <c r="K24" s="92">
        <f t="shared" si="3"/>
        <v>1228.7271428571428</v>
      </c>
      <c r="L24" s="92">
        <f>I24/$I$7</f>
        <v>307.1817857142857</v>
      </c>
    </row>
    <row r="26" spans="3:12" x14ac:dyDescent="0.35">
      <c r="C26" s="91" t="s">
        <v>0</v>
      </c>
      <c r="D26" s="209" t="s">
        <v>105</v>
      </c>
    </row>
    <row r="27" spans="3:12" x14ac:dyDescent="0.35">
      <c r="C27" s="91" t="s">
        <v>5</v>
      </c>
      <c r="D27" s="209"/>
    </row>
    <row r="28" spans="3:12" x14ac:dyDescent="0.35">
      <c r="C28" s="91" t="s">
        <v>4</v>
      </c>
      <c r="D28" s="209"/>
    </row>
    <row r="29" spans="3:12" x14ac:dyDescent="0.35">
      <c r="C29" s="91" t="s">
        <v>4</v>
      </c>
      <c r="D29" s="209"/>
    </row>
    <row r="30" spans="3:12" x14ac:dyDescent="0.35">
      <c r="C30" s="91" t="s">
        <v>3</v>
      </c>
      <c r="D30" s="209"/>
    </row>
    <row r="31" spans="3:12" x14ac:dyDescent="0.35">
      <c r="C31" s="91" t="s">
        <v>2</v>
      </c>
      <c r="D31" s="209"/>
    </row>
    <row r="32" spans="3:12" x14ac:dyDescent="0.35">
      <c r="C32" s="91" t="s">
        <v>1</v>
      </c>
      <c r="D32" s="209"/>
    </row>
    <row r="33" spans="3:17" x14ac:dyDescent="0.35">
      <c r="C33" s="91" t="s">
        <v>82</v>
      </c>
      <c r="D33" s="209"/>
    </row>
    <row r="34" spans="3:17" x14ac:dyDescent="0.35">
      <c r="C34" s="91" t="s">
        <v>0</v>
      </c>
      <c r="D34" s="209"/>
      <c r="N34" s="3"/>
      <c r="O34" s="3"/>
    </row>
    <row r="35" spans="3:17" ht="15" thickBot="1" x14ac:dyDescent="0.4">
      <c r="N35" s="3"/>
      <c r="O35" s="3"/>
    </row>
    <row r="36" spans="3:17" ht="30.75" customHeight="1" thickBot="1" x14ac:dyDescent="0.4">
      <c r="C36" s="94"/>
      <c r="D36" s="210" t="s">
        <v>66</v>
      </c>
      <c r="E36" s="211"/>
      <c r="F36" s="211"/>
      <c r="G36" s="211"/>
      <c r="H36" s="211"/>
      <c r="I36" s="211"/>
      <c r="J36" s="211"/>
      <c r="K36" s="211"/>
      <c r="L36" s="212"/>
      <c r="M36" s="79" t="s">
        <v>7</v>
      </c>
      <c r="N36" s="213"/>
      <c r="O36" s="3"/>
      <c r="P36" s="221" t="s">
        <v>65</v>
      </c>
      <c r="Q36" s="214" t="s">
        <v>64</v>
      </c>
    </row>
    <row r="37" spans="3:17" ht="15" thickBot="1" x14ac:dyDescent="0.4">
      <c r="C37" s="95" t="s">
        <v>9</v>
      </c>
      <c r="D37" s="95" t="s">
        <v>63</v>
      </c>
      <c r="E37" s="96" t="s">
        <v>62</v>
      </c>
      <c r="F37" s="96" t="s">
        <v>61</v>
      </c>
      <c r="G37" s="96" t="s">
        <v>60</v>
      </c>
      <c r="H37" s="96" t="s">
        <v>59</v>
      </c>
      <c r="I37" s="96" t="s">
        <v>58</v>
      </c>
      <c r="J37" s="96" t="s">
        <v>57</v>
      </c>
      <c r="K37" s="96" t="s">
        <v>56</v>
      </c>
      <c r="L37" s="96" t="s">
        <v>55</v>
      </c>
      <c r="M37" s="97" t="s">
        <v>54</v>
      </c>
      <c r="N37" s="213"/>
      <c r="O37" s="3"/>
      <c r="P37" s="222"/>
      <c r="Q37" s="215"/>
    </row>
    <row r="38" spans="3:17" ht="15" thickBot="1" x14ac:dyDescent="0.4">
      <c r="C38" s="69" t="s">
        <v>53</v>
      </c>
      <c r="D38" s="69" t="s">
        <v>52</v>
      </c>
      <c r="E38" s="68">
        <v>8009.8093795564755</v>
      </c>
      <c r="F38" s="68">
        <v>6371.4392791926512</v>
      </c>
      <c r="G38" s="68">
        <v>5097.1514233541211</v>
      </c>
      <c r="H38" s="68">
        <f>Tabela84[[#This Row],[Colunas1]]*Tabela84[[#Headers],[44]]</f>
        <v>4004.9046897782378</v>
      </c>
      <c r="I38" s="68">
        <v>3822.8635675155911</v>
      </c>
      <c r="J38" s="68">
        <v>2548.5757116770606</v>
      </c>
      <c r="K38" s="68">
        <v>1274.2878558385303</v>
      </c>
      <c r="L38" s="67">
        <v>364.08224452529436</v>
      </c>
      <c r="M38" s="66">
        <f>Tabela84[[#This Row],[88]]/Tabela84[[#Headers],[88]]</f>
        <v>91.020561131323589</v>
      </c>
      <c r="N38" s="61"/>
      <c r="O38" s="87"/>
      <c r="P38" s="65">
        <v>5000</v>
      </c>
      <c r="Q38" s="64">
        <v>88</v>
      </c>
    </row>
    <row r="39" spans="3:17" x14ac:dyDescent="0.35">
      <c r="C39" s="9" t="s">
        <v>51</v>
      </c>
      <c r="D39" s="51" t="s">
        <v>50</v>
      </c>
      <c r="E39" s="50">
        <v>9985.7390768615205</v>
      </c>
      <c r="F39" s="50">
        <v>7943.2015384125734</v>
      </c>
      <c r="G39" s="50">
        <v>6354.5612307300589</v>
      </c>
      <c r="H39" s="50">
        <f>Tabela84[[#This Row],[Colunas1]]*Tabela84[[#Headers],[44]]</f>
        <v>4992.8695384307603</v>
      </c>
      <c r="I39" s="50">
        <v>4765.9209230475444</v>
      </c>
      <c r="J39" s="50">
        <v>3177.2806153650299</v>
      </c>
      <c r="K39" s="50">
        <v>1588.640307682515</v>
      </c>
      <c r="L39" s="49">
        <v>453.89723076643287</v>
      </c>
      <c r="M39" s="48">
        <f>Tabela84[[#This Row],[88]]/Tabela84[[#Headers],[88]]</f>
        <v>113.47430769160819</v>
      </c>
      <c r="N39" s="58"/>
      <c r="O39" s="87"/>
      <c r="P39" s="63">
        <v>3977.2727272727275</v>
      </c>
      <c r="Q39" s="62">
        <v>70</v>
      </c>
    </row>
    <row r="40" spans="3:17" x14ac:dyDescent="0.35">
      <c r="C40" s="6" t="s">
        <v>49</v>
      </c>
      <c r="D40" s="46" t="s">
        <v>48</v>
      </c>
      <c r="E40" s="45">
        <v>10285.33278529555</v>
      </c>
      <c r="F40" s="45">
        <v>8181.514715576006</v>
      </c>
      <c r="G40" s="45">
        <v>6545.2117724608052</v>
      </c>
      <c r="H40" s="45">
        <f>Tabela84[[#This Row],[Colunas1]]*Tabela84[[#Headers],[44]]</f>
        <v>5142.666392647775</v>
      </c>
      <c r="I40" s="45">
        <v>4908.9088293456043</v>
      </c>
      <c r="J40" s="45">
        <v>3272.6058862304026</v>
      </c>
      <c r="K40" s="45">
        <v>1636.3029431152013</v>
      </c>
      <c r="L40" s="44">
        <v>467.51512660434321</v>
      </c>
      <c r="M40" s="43">
        <f>Tabela84[[#This Row],[88]]/Tabela84[[#Headers],[88]]</f>
        <v>116.87878165108579</v>
      </c>
      <c r="N40" s="61"/>
      <c r="O40" s="87"/>
      <c r="P40" s="60">
        <v>3181.818181818182</v>
      </c>
      <c r="Q40" s="59">
        <v>56</v>
      </c>
    </row>
    <row r="41" spans="3:17" x14ac:dyDescent="0.35">
      <c r="C41" s="6" t="s">
        <v>47</v>
      </c>
      <c r="D41" s="46" t="s">
        <v>46</v>
      </c>
      <c r="E41" s="45">
        <v>10593.883107787567</v>
      </c>
      <c r="F41" s="45">
        <v>8426.9524721037469</v>
      </c>
      <c r="G41" s="45">
        <v>6741.5619776829972</v>
      </c>
      <c r="H41" s="45">
        <f>Tabela84[[#This Row],[Colunas1]]*Tabela84[[#Headers],[44]]</f>
        <v>5296.9415538937837</v>
      </c>
      <c r="I41" s="45">
        <v>5056.1714832622483</v>
      </c>
      <c r="J41" s="45">
        <v>3370.780988841499</v>
      </c>
      <c r="K41" s="45">
        <v>1685.3904944207495</v>
      </c>
      <c r="L41" s="44">
        <v>481.54014126307129</v>
      </c>
      <c r="M41" s="43">
        <f>Tabela84[[#This Row],[88]]/Tabela84[[#Headers],[88]]</f>
        <v>120.38503531576781</v>
      </c>
      <c r="N41" s="58"/>
      <c r="O41" s="3"/>
      <c r="P41" s="63">
        <v>2500</v>
      </c>
      <c r="Q41" s="62">
        <v>44</v>
      </c>
    </row>
    <row r="42" spans="3:17" ht="15" thickBot="1" x14ac:dyDescent="0.4">
      <c r="C42" s="5" t="s">
        <v>45</v>
      </c>
      <c r="D42" s="41" t="s">
        <v>44</v>
      </c>
      <c r="E42" s="40">
        <v>10911.691952676607</v>
      </c>
      <c r="F42" s="40">
        <v>8679.7549623563918</v>
      </c>
      <c r="G42" s="40">
        <v>6943.8039698851135</v>
      </c>
      <c r="H42" s="40">
        <f>Tabela84[[#This Row],[Colunas1]]*Tabela84[[#Headers],[44]]</f>
        <v>5455.8459763383034</v>
      </c>
      <c r="I42" s="40">
        <v>5207.8529774138351</v>
      </c>
      <c r="J42" s="40">
        <v>3471.9019849425567</v>
      </c>
      <c r="K42" s="40">
        <v>1735.9509924712784</v>
      </c>
      <c r="L42" s="39">
        <v>495.98599784893668</v>
      </c>
      <c r="M42" s="38">
        <f>Tabela84[[#This Row],[88]]/Tabela84[[#Headers],[88]]</f>
        <v>123.99649946223417</v>
      </c>
      <c r="N42" s="61"/>
      <c r="O42" s="3"/>
      <c r="P42" s="60">
        <v>2386.3636363636365</v>
      </c>
      <c r="Q42" s="59">
        <v>42</v>
      </c>
    </row>
    <row r="43" spans="3:17" x14ac:dyDescent="0.35">
      <c r="C43" s="98" t="s">
        <v>43</v>
      </c>
      <c r="D43" s="99" t="s">
        <v>42</v>
      </c>
      <c r="E43" s="100">
        <v>12729.441807550809</v>
      </c>
      <c r="F43" s="100">
        <v>10125.692346915417</v>
      </c>
      <c r="G43" s="100">
        <v>8100.5538775323339</v>
      </c>
      <c r="H43" s="100">
        <f>Tabela84[[#This Row],[Colunas1]]*Tabela84[[#Headers],[44]]</f>
        <v>6364.7209037754046</v>
      </c>
      <c r="I43" s="100">
        <v>6075.4154081492507</v>
      </c>
      <c r="J43" s="100">
        <v>4050.2769387661674</v>
      </c>
      <c r="K43" s="100">
        <v>2025.1384693830837</v>
      </c>
      <c r="L43" s="101">
        <v>578.61099125230965</v>
      </c>
      <c r="M43" s="102">
        <f>Tabela84[[#This Row],[88]]/Tabela84[[#Headers],[88]]</f>
        <v>144.65274781307738</v>
      </c>
      <c r="N43" s="58"/>
      <c r="O43" s="3"/>
      <c r="P43" s="63">
        <v>1590.909090909091</v>
      </c>
      <c r="Q43" s="62">
        <v>28</v>
      </c>
    </row>
    <row r="44" spans="3:17" x14ac:dyDescent="0.35">
      <c r="C44" s="6" t="s">
        <v>41</v>
      </c>
      <c r="D44" s="46" t="s">
        <v>40</v>
      </c>
      <c r="E44" s="45">
        <v>13111.335729205317</v>
      </c>
      <c r="F44" s="45">
        <v>10429.471602776957</v>
      </c>
      <c r="G44" s="45">
        <v>8343.5772822215658</v>
      </c>
      <c r="H44" s="45">
        <f>Tabela84[[#This Row],[Colunas1]]*Tabela84[[#Headers],[44]]</f>
        <v>6555.6678646026594</v>
      </c>
      <c r="I44" s="45">
        <v>6257.6829616661744</v>
      </c>
      <c r="J44" s="45">
        <v>4171.7886411107829</v>
      </c>
      <c r="K44" s="45">
        <v>2085.8943205553915</v>
      </c>
      <c r="L44" s="44">
        <v>595.969805872969</v>
      </c>
      <c r="M44" s="43">
        <f>Tabela84[[#This Row],[88]]/Tabela84[[#Headers],[88]]</f>
        <v>148.99245146824225</v>
      </c>
      <c r="N44" s="61"/>
      <c r="O44" s="3"/>
      <c r="P44" s="60">
        <v>795.4545454545455</v>
      </c>
      <c r="Q44" s="59">
        <v>14</v>
      </c>
    </row>
    <row r="45" spans="3:17" ht="15" thickBot="1" x14ac:dyDescent="0.4">
      <c r="C45" s="6" t="s">
        <v>39</v>
      </c>
      <c r="D45" s="46" t="s">
        <v>38</v>
      </c>
      <c r="E45" s="45">
        <v>13504.651849686577</v>
      </c>
      <c r="F45" s="45">
        <v>10742.336698614323</v>
      </c>
      <c r="G45" s="45">
        <v>8593.8693588914575</v>
      </c>
      <c r="H45" s="45">
        <f>Tabela84[[#This Row],[Colunas1]]*Tabela84[[#Headers],[44]]</f>
        <v>6752.3259248432887</v>
      </c>
      <c r="I45" s="45">
        <v>6445.4020191685941</v>
      </c>
      <c r="J45" s="45">
        <v>4296.9346794457297</v>
      </c>
      <c r="K45" s="45">
        <v>2148.4673397228648</v>
      </c>
      <c r="L45" s="44">
        <v>613.84781134938999</v>
      </c>
      <c r="M45" s="43">
        <f>Tabela84[[#This Row],[88]]/Tabela84[[#Headers],[88]]</f>
        <v>153.46195283734747</v>
      </c>
      <c r="N45" s="58"/>
      <c r="O45" s="3"/>
      <c r="P45" s="57">
        <v>227.27272727272728</v>
      </c>
      <c r="Q45" s="56">
        <v>4</v>
      </c>
    </row>
    <row r="46" spans="3:17" ht="15" thickBot="1" x14ac:dyDescent="0.4">
      <c r="C46" s="5" t="s">
        <v>37</v>
      </c>
      <c r="D46" s="41" t="s">
        <v>36</v>
      </c>
      <c r="E46" s="40">
        <v>13909.792713446601</v>
      </c>
      <c r="F46" s="40">
        <v>11064.607840241646</v>
      </c>
      <c r="G46" s="40">
        <v>8851.6862721933176</v>
      </c>
      <c r="H46" s="40">
        <f>Tabela84[[#This Row],[Colunas1]]*Tabela84[[#Headers],[44]]</f>
        <v>6954.8963567233004</v>
      </c>
      <c r="I46" s="40">
        <v>6638.7647041449882</v>
      </c>
      <c r="J46" s="40">
        <v>4425.8431360966588</v>
      </c>
      <c r="K46" s="40">
        <v>2212.9215680483294</v>
      </c>
      <c r="L46" s="39">
        <v>632.26330515666552</v>
      </c>
      <c r="M46" s="38">
        <f>Tabela84[[#This Row],[88]]/Tabela84[[#Headers],[88]]</f>
        <v>158.06582628916593</v>
      </c>
      <c r="N46" s="3"/>
      <c r="O46" s="3"/>
    </row>
    <row r="47" spans="3:17" x14ac:dyDescent="0.35">
      <c r="C47" s="9" t="s">
        <v>35</v>
      </c>
      <c r="D47" s="51" t="s">
        <v>34</v>
      </c>
      <c r="E47" s="50">
        <v>16500.770079030299</v>
      </c>
      <c r="F47" s="50">
        <v>13125.61256286501</v>
      </c>
      <c r="G47" s="50">
        <v>10500.490050292008</v>
      </c>
      <c r="H47" s="50">
        <f>Tabela84[[#This Row],[Colunas1]]*Tabela84[[#Headers],[44]]</f>
        <v>8250.3850395151494</v>
      </c>
      <c r="I47" s="50">
        <v>7875.3675377190066</v>
      </c>
      <c r="J47" s="50">
        <v>5250.2450251460041</v>
      </c>
      <c r="K47" s="50">
        <v>2625.122512573002</v>
      </c>
      <c r="L47" s="49">
        <v>750.03500359228633</v>
      </c>
      <c r="M47" s="48">
        <f>Tabela84[[#This Row],[88]]/Tabela84[[#Headers],[88]]</f>
        <v>187.50875089807158</v>
      </c>
      <c r="N47" s="3"/>
      <c r="O47" s="87"/>
    </row>
    <row r="48" spans="3:17" x14ac:dyDescent="0.35">
      <c r="C48" s="6" t="s">
        <v>33</v>
      </c>
      <c r="D48" s="46" t="s">
        <v>32</v>
      </c>
      <c r="E48" s="45">
        <v>16995.809182543198</v>
      </c>
      <c r="F48" s="45">
        <v>13519.393667932069</v>
      </c>
      <c r="G48" s="45">
        <v>10815.514934345654</v>
      </c>
      <c r="H48" s="45">
        <f>Tabela84[[#This Row],[Colunas1]]*Tabela84[[#Headers],[44]]</f>
        <v>8497.9045912715992</v>
      </c>
      <c r="I48" s="45">
        <v>8111.6362007592415</v>
      </c>
      <c r="J48" s="45">
        <v>5407.757467172828</v>
      </c>
      <c r="K48" s="45">
        <v>2703.878733586414</v>
      </c>
      <c r="L48" s="44">
        <v>772.53678102468973</v>
      </c>
      <c r="M48" s="43">
        <f>Tabela84[[#This Row],[88]]/Tabela84[[#Headers],[88]]</f>
        <v>193.13419525617272</v>
      </c>
      <c r="N48" s="3"/>
    </row>
    <row r="49" spans="3:14" x14ac:dyDescent="0.35">
      <c r="C49" s="6" t="s">
        <v>31</v>
      </c>
      <c r="D49" s="46" t="s">
        <v>30</v>
      </c>
      <c r="E49" s="45">
        <v>17505.671985502599</v>
      </c>
      <c r="F49" s="45">
        <v>13924.966352104329</v>
      </c>
      <c r="G49" s="45">
        <v>11139.973081683464</v>
      </c>
      <c r="H49" s="45">
        <f>Tabela84[[#This Row],[Colunas1]]*Tabela84[[#Headers],[44]]</f>
        <v>8752.8359927512993</v>
      </c>
      <c r="I49" s="45">
        <v>8354.9798112625977</v>
      </c>
      <c r="J49" s="45">
        <v>5569.9865408417318</v>
      </c>
      <c r="K49" s="45">
        <v>2784.9932704208659</v>
      </c>
      <c r="L49" s="44">
        <v>795.71236297739028</v>
      </c>
      <c r="M49" s="43">
        <f>Tabela84[[#This Row],[88]]/Tabela84[[#Headers],[88]]</f>
        <v>198.92809074434771</v>
      </c>
      <c r="N49" s="3"/>
    </row>
    <row r="50" spans="3:14" ht="15" thickBot="1" x14ac:dyDescent="0.4">
      <c r="C50" s="5" t="s">
        <v>29</v>
      </c>
      <c r="D50" s="41" t="s">
        <v>28</v>
      </c>
      <c r="E50" s="40">
        <v>17505.671985502599</v>
      </c>
      <c r="F50" s="40">
        <v>14342.706857213383</v>
      </c>
      <c r="G50" s="40">
        <v>11474.165485770707</v>
      </c>
      <c r="H50" s="40">
        <f>Tabela84[[#This Row],[Colunas1]]*Tabela84[[#Headers],[44]]</f>
        <v>9015.41573881984</v>
      </c>
      <c r="I50" s="40">
        <v>8605.6241143280313</v>
      </c>
      <c r="J50" s="40">
        <v>5737.0827428853545</v>
      </c>
      <c r="K50" s="40">
        <v>2868.5413714426772</v>
      </c>
      <c r="L50" s="39">
        <v>819.58324898362207</v>
      </c>
      <c r="M50" s="38">
        <f>Tabela84[[#This Row],[70]]/Tabela84[[#Headers],[70]]</f>
        <v>204.89581224590546</v>
      </c>
    </row>
    <row r="51" spans="3:14" x14ac:dyDescent="0.35">
      <c r="C51" s="98" t="s">
        <v>27</v>
      </c>
      <c r="D51" s="99" t="s">
        <v>26</v>
      </c>
      <c r="E51" s="100">
        <v>0</v>
      </c>
      <c r="F51" s="100">
        <v>0</v>
      </c>
      <c r="G51" s="100">
        <f>Tabela84[[#This Row],[Colunas1]]*Tabela84[[#Headers],[56]]</f>
        <v>14764.960000000001</v>
      </c>
      <c r="H51" s="100">
        <f>Tabela84[[#This Row],[Colunas1]]*Tabela84[[#Headers],[44]]</f>
        <v>11601.04</v>
      </c>
      <c r="I51" s="100">
        <f>Tabela84[[#This Row],[Colunas1]]*Tabela84[[#Headers],[42]]</f>
        <v>11073.720000000001</v>
      </c>
      <c r="J51" s="100">
        <v>7382.4859352380217</v>
      </c>
      <c r="K51" s="100">
        <v>3691.2429676190109</v>
      </c>
      <c r="L51" s="101">
        <v>1054.640847891146</v>
      </c>
      <c r="M51" s="102">
        <v>263.66000000000003</v>
      </c>
    </row>
    <row r="52" spans="3:14" x14ac:dyDescent="0.35">
      <c r="C52" s="47"/>
      <c r="D52" s="46" t="s">
        <v>25</v>
      </c>
      <c r="E52" s="45">
        <v>0</v>
      </c>
      <c r="F52" s="45">
        <v>0</v>
      </c>
      <c r="G52" s="45">
        <v>0</v>
      </c>
      <c r="H52" s="45">
        <f>Tabela84[[#This Row],[Colunas1]]*Tabela84[[#Headers],[44]]</f>
        <v>12047.64</v>
      </c>
      <c r="I52" s="45">
        <f>Tabela84[[#This Row],[Colunas1]]*Tabela84[[#Headers],[42]]</f>
        <v>11500.02</v>
      </c>
      <c r="J52" s="45">
        <f>Tabela84[[#This Row],[Colunas1]]*Tabela84[[#Headers],[28]]</f>
        <v>7666.68</v>
      </c>
      <c r="K52" s="45">
        <f>Tabela84[[#This Row],[Colunas1]]*Tabela84[[#Headers],[14]]</f>
        <v>3833.34</v>
      </c>
      <c r="L52" s="44">
        <f>Tabela84[[#This Row],[Colunas1]]*Tabela84[[#Headers],[4]]</f>
        <v>1095.24</v>
      </c>
      <c r="M52" s="43">
        <v>273.81</v>
      </c>
    </row>
    <row r="53" spans="3:14" x14ac:dyDescent="0.35">
      <c r="C53" s="47"/>
      <c r="D53" s="46" t="s">
        <v>24</v>
      </c>
      <c r="E53" s="45">
        <v>0</v>
      </c>
      <c r="F53" s="45">
        <v>0</v>
      </c>
      <c r="G53" s="45">
        <v>0</v>
      </c>
      <c r="H53" s="45"/>
      <c r="I53" s="45">
        <f>Tabela84[[#This Row],[Colunas1]]*Tabela84[[#Headers],[42]]</f>
        <v>11970</v>
      </c>
      <c r="J53" s="45">
        <f>Tabela84[[#This Row],[Colunas1]]*Tabela84[[#Headers],[28]]</f>
        <v>7980</v>
      </c>
      <c r="K53" s="45">
        <f>Tabela84[[#This Row],[Colunas1]]*Tabela84[[#Headers],[14]]</f>
        <v>3990</v>
      </c>
      <c r="L53" s="44">
        <f>Tabela84[[#This Row],[Colunas1]]*Tabela84[[#Headers],[4]]</f>
        <v>1140</v>
      </c>
      <c r="M53" s="43">
        <v>285</v>
      </c>
    </row>
    <row r="54" spans="3:14" ht="15" thickBot="1" x14ac:dyDescent="0.4">
      <c r="C54" s="42"/>
      <c r="D54" s="41" t="s">
        <v>23</v>
      </c>
      <c r="E54" s="40">
        <v>0</v>
      </c>
      <c r="F54" s="40">
        <v>0</v>
      </c>
      <c r="G54" s="40">
        <v>0</v>
      </c>
      <c r="H54" s="40"/>
      <c r="I54" s="40">
        <v>0</v>
      </c>
      <c r="J54" s="40">
        <v>8601.0900000000038</v>
      </c>
      <c r="K54" s="40">
        <v>4300.5450000000019</v>
      </c>
      <c r="L54" s="39">
        <v>1228.7271428571435</v>
      </c>
      <c r="M54" s="38">
        <v>295</v>
      </c>
    </row>
    <row r="55" spans="3:14" ht="15" thickBot="1" x14ac:dyDescent="0.4"/>
    <row r="56" spans="3:14" ht="15" thickBot="1" x14ac:dyDescent="0.4">
      <c r="C56" s="216" t="s">
        <v>6</v>
      </c>
      <c r="D56" s="218" t="s">
        <v>22</v>
      </c>
      <c r="E56" s="211"/>
      <c r="F56" s="211"/>
      <c r="G56" s="211"/>
      <c r="H56" s="211"/>
      <c r="I56" s="211"/>
      <c r="J56" s="211"/>
      <c r="K56" s="211"/>
      <c r="L56" s="212"/>
      <c r="M56" s="219" t="s">
        <v>7</v>
      </c>
    </row>
    <row r="57" spans="3:14" ht="15" thickBot="1" x14ac:dyDescent="0.4">
      <c r="C57" s="217"/>
      <c r="D57" s="12" t="s">
        <v>21</v>
      </c>
      <c r="E57" s="11">
        <v>88</v>
      </c>
      <c r="F57" s="11">
        <v>70</v>
      </c>
      <c r="G57" s="11">
        <v>56</v>
      </c>
      <c r="H57" s="11">
        <v>44</v>
      </c>
      <c r="I57" s="11">
        <v>42</v>
      </c>
      <c r="J57" s="11">
        <v>28</v>
      </c>
      <c r="K57" s="11">
        <v>14</v>
      </c>
      <c r="L57" s="10">
        <v>4</v>
      </c>
      <c r="M57" s="220"/>
    </row>
    <row r="58" spans="3:14" ht="15" thickBot="1" x14ac:dyDescent="0.4">
      <c r="C58" s="37" t="s">
        <v>20</v>
      </c>
      <c r="D58" s="36" t="s">
        <v>20</v>
      </c>
      <c r="E58" s="35">
        <v>9500</v>
      </c>
      <c r="F58" s="35">
        <v>7556.818181818182</v>
      </c>
      <c r="G58" s="35">
        <v>6045.454545454545</v>
      </c>
      <c r="H58" s="35">
        <v>4750</v>
      </c>
      <c r="I58" s="35">
        <v>4534.090909090909</v>
      </c>
      <c r="J58" s="34">
        <v>3022.7272727272725</v>
      </c>
      <c r="K58" s="34">
        <v>1511.3636363636363</v>
      </c>
      <c r="L58" s="34">
        <v>431.81818181818181</v>
      </c>
      <c r="M58" s="33">
        <v>107.954545454545</v>
      </c>
    </row>
    <row r="59" spans="3:14" ht="15" thickBot="1" x14ac:dyDescent="0.4">
      <c r="C59" s="37" t="s">
        <v>19</v>
      </c>
      <c r="D59" s="36" t="s">
        <v>19</v>
      </c>
      <c r="E59" s="35">
        <v>8500</v>
      </c>
      <c r="F59" s="35">
        <v>6761.3636363636369</v>
      </c>
      <c r="G59" s="35">
        <v>5409.090909090909</v>
      </c>
      <c r="H59" s="35">
        <v>4250</v>
      </c>
      <c r="I59" s="35">
        <v>4056.818181818182</v>
      </c>
      <c r="J59" s="34">
        <v>2704.5454545454545</v>
      </c>
      <c r="K59" s="34">
        <v>1352.2727272727273</v>
      </c>
      <c r="L59" s="34">
        <v>386.36363636363637</v>
      </c>
      <c r="M59" s="33">
        <v>96.590909090909093</v>
      </c>
    </row>
    <row r="60" spans="3:14" x14ac:dyDescent="0.35">
      <c r="C60" s="27" t="s">
        <v>18</v>
      </c>
      <c r="D60" s="26" t="s">
        <v>18</v>
      </c>
      <c r="E60" s="25">
        <v>7500</v>
      </c>
      <c r="F60" s="25">
        <v>5965.909090909091</v>
      </c>
      <c r="G60" s="25">
        <v>4772.727272727273</v>
      </c>
      <c r="H60" s="25">
        <v>3750.0000000000005</v>
      </c>
      <c r="I60" s="25">
        <v>3579.545454545455</v>
      </c>
      <c r="J60" s="24">
        <v>2386.3636363636365</v>
      </c>
      <c r="K60" s="24">
        <v>1193.1818181818182</v>
      </c>
      <c r="L60" s="24">
        <v>340.90909090909093</v>
      </c>
      <c r="M60" s="23">
        <v>85.227272727272734</v>
      </c>
    </row>
    <row r="61" spans="3:14" x14ac:dyDescent="0.35">
      <c r="C61" s="22" t="s">
        <v>17</v>
      </c>
      <c r="D61" s="21" t="s">
        <v>17</v>
      </c>
      <c r="E61" s="20">
        <v>6500</v>
      </c>
      <c r="F61" s="20">
        <v>5170.454545454545</v>
      </c>
      <c r="G61" s="20">
        <v>4136.363636363636</v>
      </c>
      <c r="H61" s="20">
        <v>3250</v>
      </c>
      <c r="I61" s="20">
        <v>3102.272727272727</v>
      </c>
      <c r="J61" s="19">
        <v>2068.181818181818</v>
      </c>
      <c r="K61" s="19">
        <v>1034.090909090909</v>
      </c>
      <c r="L61" s="19">
        <v>295.45454545454544</v>
      </c>
      <c r="M61" s="18">
        <v>73.86363636363636</v>
      </c>
    </row>
    <row r="62" spans="3:14" x14ac:dyDescent="0.35">
      <c r="C62" s="22" t="s">
        <v>16</v>
      </c>
      <c r="D62" s="21" t="s">
        <v>16</v>
      </c>
      <c r="E62" s="20">
        <v>5500</v>
      </c>
      <c r="F62" s="20">
        <v>4375</v>
      </c>
      <c r="G62" s="20">
        <v>3500</v>
      </c>
      <c r="H62" s="20">
        <v>2750</v>
      </c>
      <c r="I62" s="20">
        <v>2625</v>
      </c>
      <c r="J62" s="19">
        <v>1750</v>
      </c>
      <c r="K62" s="19">
        <v>875</v>
      </c>
      <c r="L62" s="19">
        <v>250</v>
      </c>
      <c r="M62" s="18">
        <v>62.5</v>
      </c>
    </row>
    <row r="63" spans="3:14" ht="15" thickBot="1" x14ac:dyDescent="0.4">
      <c r="C63" s="32" t="s">
        <v>15</v>
      </c>
      <c r="D63" s="31" t="s">
        <v>15</v>
      </c>
      <c r="E63" s="30">
        <v>4500</v>
      </c>
      <c r="F63" s="30">
        <v>3579.5454545454545</v>
      </c>
      <c r="G63" s="30">
        <v>2863.6363636363635</v>
      </c>
      <c r="H63" s="30">
        <v>2250</v>
      </c>
      <c r="I63" s="30">
        <v>2147.7272727272725</v>
      </c>
      <c r="J63" s="29">
        <v>1431.8181818181818</v>
      </c>
      <c r="K63" s="29">
        <v>715.90909090909088</v>
      </c>
      <c r="L63" s="29">
        <v>204.54545454545453</v>
      </c>
      <c r="M63" s="28">
        <v>51.136363636363598</v>
      </c>
    </row>
    <row r="64" spans="3:14" x14ac:dyDescent="0.35">
      <c r="C64" s="27" t="s">
        <v>14</v>
      </c>
      <c r="D64" s="26" t="s">
        <v>14</v>
      </c>
      <c r="E64" s="25">
        <v>3500</v>
      </c>
      <c r="F64" s="25">
        <v>2784.090909090909</v>
      </c>
      <c r="G64" s="25">
        <v>2227.2727272727275</v>
      </c>
      <c r="H64" s="25">
        <v>1750</v>
      </c>
      <c r="I64" s="25">
        <v>1670.4545454545455</v>
      </c>
      <c r="J64" s="24">
        <v>1113.6363636363637</v>
      </c>
      <c r="K64" s="24">
        <v>556.81818181818187</v>
      </c>
      <c r="L64" s="24">
        <v>159.09090909090909</v>
      </c>
      <c r="M64" s="23">
        <v>39.772727272727273</v>
      </c>
    </row>
    <row r="65" spans="3:13" x14ac:dyDescent="0.35">
      <c r="C65" s="22" t="s">
        <v>13</v>
      </c>
      <c r="D65" s="21" t="s">
        <v>13</v>
      </c>
      <c r="E65" s="20">
        <v>2500</v>
      </c>
      <c r="F65" s="20">
        <v>1988.6363636363637</v>
      </c>
      <c r="G65" s="20">
        <v>1590.909090909091</v>
      </c>
      <c r="H65" s="20">
        <v>1250</v>
      </c>
      <c r="I65" s="20">
        <v>1193.1818181818182</v>
      </c>
      <c r="J65" s="19">
        <v>795.4545454545455</v>
      </c>
      <c r="K65" s="19">
        <v>397.72727272727275</v>
      </c>
      <c r="L65" s="19">
        <v>113.63636363636364</v>
      </c>
      <c r="M65" s="18">
        <v>28.40909090909091</v>
      </c>
    </row>
    <row r="66" spans="3:13" x14ac:dyDescent="0.35">
      <c r="C66" s="22" t="s">
        <v>12</v>
      </c>
      <c r="D66" s="21" t="s">
        <v>12</v>
      </c>
      <c r="E66" s="20">
        <v>1800</v>
      </c>
      <c r="F66" s="20">
        <v>1431.8181818181818</v>
      </c>
      <c r="G66" s="20">
        <v>1145.4545454545455</v>
      </c>
      <c r="H66" s="20">
        <v>900</v>
      </c>
      <c r="I66" s="20">
        <v>859.09090909090901</v>
      </c>
      <c r="J66" s="19">
        <v>572.72727272727275</v>
      </c>
      <c r="K66" s="19">
        <v>286.36363636363637</v>
      </c>
      <c r="L66" s="19">
        <v>81.818181818181813</v>
      </c>
      <c r="M66" s="18">
        <v>20.454545454545453</v>
      </c>
    </row>
    <row r="67" spans="3:13" x14ac:dyDescent="0.35">
      <c r="C67" s="22" t="s">
        <v>11</v>
      </c>
      <c r="D67" s="21" t="s">
        <v>11</v>
      </c>
      <c r="E67" s="20">
        <v>1500</v>
      </c>
      <c r="F67" s="20">
        <v>1193.1818181818182</v>
      </c>
      <c r="G67" s="20">
        <v>954.54545454545462</v>
      </c>
      <c r="H67" s="20">
        <v>750</v>
      </c>
      <c r="I67" s="20">
        <v>715.90909090909099</v>
      </c>
      <c r="J67" s="19">
        <v>477.27272727272731</v>
      </c>
      <c r="K67" s="19">
        <v>238.63636363636365</v>
      </c>
      <c r="L67" s="19">
        <v>68.181818181818187</v>
      </c>
      <c r="M67" s="18">
        <v>17.045454545454547</v>
      </c>
    </row>
    <row r="68" spans="3:13" ht="15" thickBot="1" x14ac:dyDescent="0.4">
      <c r="C68" s="17" t="s">
        <v>10</v>
      </c>
      <c r="D68" s="16" t="s">
        <v>10</v>
      </c>
      <c r="E68" s="15">
        <v>1200</v>
      </c>
      <c r="F68" s="15">
        <v>954.54545454545462</v>
      </c>
      <c r="G68" s="15">
        <v>763.63636363636363</v>
      </c>
      <c r="H68" s="15">
        <v>600</v>
      </c>
      <c r="I68" s="15">
        <v>572.72727272727275</v>
      </c>
      <c r="J68" s="14">
        <v>381.81818181818181</v>
      </c>
      <c r="K68" s="14">
        <v>190.90909090909091</v>
      </c>
      <c r="L68" s="14">
        <v>54.545454545454547</v>
      </c>
      <c r="M68" s="13">
        <v>13.636363636363637</v>
      </c>
    </row>
    <row r="69" spans="3:13" ht="15" thickBot="1" x14ac:dyDescent="0.4">
      <c r="L69" s="4"/>
    </row>
    <row r="70" spans="3:13" s="3" customFormat="1" ht="15" thickBot="1" x14ac:dyDescent="0.4">
      <c r="C70" s="216" t="s">
        <v>9</v>
      </c>
      <c r="D70" s="218" t="s">
        <v>8</v>
      </c>
      <c r="E70" s="211"/>
      <c r="F70" s="211"/>
      <c r="G70" s="211"/>
      <c r="H70" s="211"/>
      <c r="I70" s="211"/>
      <c r="J70" s="211"/>
      <c r="K70" s="211"/>
      <c r="L70" s="212"/>
      <c r="M70" s="219" t="s">
        <v>7</v>
      </c>
    </row>
    <row r="71" spans="3:13" s="3" customFormat="1" ht="15" thickBot="1" x14ac:dyDescent="0.4">
      <c r="C71" s="217"/>
      <c r="D71" s="12" t="s">
        <v>6</v>
      </c>
      <c r="E71" s="11">
        <v>88</v>
      </c>
      <c r="F71" s="11">
        <v>70</v>
      </c>
      <c r="G71" s="11">
        <v>56</v>
      </c>
      <c r="H71" s="11">
        <v>44</v>
      </c>
      <c r="I71" s="11">
        <v>42</v>
      </c>
      <c r="J71" s="11">
        <v>28</v>
      </c>
      <c r="K71" s="11">
        <v>14</v>
      </c>
      <c r="L71" s="10">
        <v>4</v>
      </c>
      <c r="M71" s="220"/>
    </row>
    <row r="72" spans="3:13" s="3" customFormat="1" x14ac:dyDescent="0.35">
      <c r="C72" s="9" t="s">
        <v>0</v>
      </c>
      <c r="D72" s="103"/>
      <c r="E72" s="104"/>
      <c r="F72" s="104"/>
      <c r="G72" s="104"/>
      <c r="H72" s="104"/>
      <c r="I72" s="104"/>
      <c r="J72" s="104"/>
      <c r="K72" s="104"/>
      <c r="L72" s="104"/>
      <c r="M72" s="105"/>
    </row>
    <row r="73" spans="3:13" s="3" customFormat="1" x14ac:dyDescent="0.35">
      <c r="C73" s="6" t="s">
        <v>5</v>
      </c>
      <c r="D73" s="8"/>
      <c r="E73" s="106"/>
      <c r="F73" s="106"/>
      <c r="G73" s="106"/>
      <c r="H73" s="106"/>
      <c r="I73" s="106"/>
      <c r="J73" s="106"/>
      <c r="K73" s="106"/>
      <c r="L73" s="106"/>
      <c r="M73" s="107"/>
    </row>
    <row r="74" spans="3:13" s="3" customFormat="1" x14ac:dyDescent="0.35">
      <c r="C74" s="6" t="s">
        <v>4</v>
      </c>
      <c r="D74" s="7"/>
      <c r="E74" s="106"/>
      <c r="F74" s="106"/>
      <c r="G74" s="106"/>
      <c r="H74" s="106"/>
      <c r="I74" s="106"/>
      <c r="J74" s="106"/>
      <c r="K74" s="106"/>
      <c r="L74" s="106"/>
      <c r="M74" s="107"/>
    </row>
    <row r="75" spans="3:13" s="3" customFormat="1" x14ac:dyDescent="0.35">
      <c r="C75" s="6" t="s">
        <v>4</v>
      </c>
      <c r="D75" s="8"/>
      <c r="E75" s="106"/>
      <c r="F75" s="106"/>
      <c r="G75" s="106"/>
      <c r="H75" s="106"/>
      <c r="I75" s="106"/>
      <c r="J75" s="106"/>
      <c r="K75" s="106"/>
      <c r="L75" s="106"/>
      <c r="M75" s="107"/>
    </row>
    <row r="76" spans="3:13" s="3" customFormat="1" x14ac:dyDescent="0.35">
      <c r="C76" s="6" t="s">
        <v>3</v>
      </c>
      <c r="D76" s="7"/>
      <c r="E76" s="106"/>
      <c r="F76" s="106"/>
      <c r="G76" s="106"/>
      <c r="H76" s="106"/>
      <c r="I76" s="106"/>
      <c r="J76" s="106"/>
      <c r="K76" s="106"/>
      <c r="L76" s="106"/>
      <c r="M76" s="107"/>
    </row>
    <row r="77" spans="3:13" s="3" customFormat="1" x14ac:dyDescent="0.35">
      <c r="C77" s="6" t="s">
        <v>2</v>
      </c>
      <c r="D77" s="8"/>
      <c r="E77" s="106"/>
      <c r="F77" s="106"/>
      <c r="G77" s="106"/>
      <c r="H77" s="106"/>
      <c r="I77" s="106"/>
      <c r="J77" s="106"/>
      <c r="K77" s="106"/>
      <c r="L77" s="106"/>
      <c r="M77" s="107"/>
    </row>
    <row r="78" spans="3:13" s="3" customFormat="1" x14ac:dyDescent="0.35">
      <c r="C78" s="6" t="s">
        <v>1</v>
      </c>
      <c r="D78" s="7"/>
      <c r="E78" s="106"/>
      <c r="F78" s="106"/>
      <c r="G78" s="106"/>
      <c r="H78" s="106"/>
      <c r="I78" s="106"/>
      <c r="J78" s="106"/>
      <c r="K78" s="106"/>
      <c r="L78" s="106"/>
      <c r="M78" s="107"/>
    </row>
    <row r="79" spans="3:13" s="3" customFormat="1" x14ac:dyDescent="0.35">
      <c r="C79" s="6" t="s">
        <v>82</v>
      </c>
      <c r="D79" s="108"/>
      <c r="E79" s="106"/>
      <c r="F79" s="106"/>
      <c r="G79" s="106"/>
      <c r="H79" s="106"/>
      <c r="I79" s="106"/>
      <c r="J79" s="106"/>
      <c r="K79" s="106"/>
      <c r="L79" s="106"/>
      <c r="M79" s="107"/>
    </row>
    <row r="80" spans="3:13" s="3" customFormat="1" ht="15" thickBot="1" x14ac:dyDescent="0.4">
      <c r="C80" s="5" t="s">
        <v>0</v>
      </c>
      <c r="D80" s="109"/>
      <c r="E80" s="110"/>
      <c r="F80" s="110"/>
      <c r="G80" s="110"/>
      <c r="H80" s="110"/>
      <c r="I80" s="110"/>
      <c r="J80" s="110"/>
      <c r="K80" s="110"/>
      <c r="L80" s="110"/>
      <c r="M80" s="111"/>
    </row>
    <row r="81" spans="5:12" s="3" customFormat="1" x14ac:dyDescent="0.35">
      <c r="E81" s="4"/>
      <c r="F81" s="4"/>
      <c r="G81" s="4"/>
      <c r="H81" s="4"/>
      <c r="I81" s="4"/>
      <c r="J81" s="4"/>
      <c r="K81" s="4"/>
      <c r="L81" s="4"/>
    </row>
    <row r="82" spans="5:12" s="3" customFormat="1" x14ac:dyDescent="0.35">
      <c r="E82" s="4"/>
      <c r="F82" s="4"/>
      <c r="G82" s="4"/>
      <c r="H82" s="4"/>
      <c r="I82" s="4"/>
      <c r="J82" s="4"/>
      <c r="K82" s="4"/>
      <c r="L82" s="4"/>
    </row>
    <row r="83" spans="5:12" s="3" customFormat="1" x14ac:dyDescent="0.35">
      <c r="E83" s="4"/>
      <c r="F83" s="4"/>
      <c r="G83" s="4"/>
      <c r="H83" s="4"/>
      <c r="I83" s="4"/>
      <c r="J83" s="4"/>
      <c r="K83" s="4"/>
      <c r="L83" s="4"/>
    </row>
    <row r="84" spans="5:12" s="3" customFormat="1" x14ac:dyDescent="0.35">
      <c r="E84" s="4"/>
      <c r="F84" s="4"/>
      <c r="G84" s="4"/>
      <c r="H84" s="4"/>
      <c r="I84" s="4"/>
      <c r="J84" s="4"/>
      <c r="K84" s="4"/>
      <c r="L84" s="4"/>
    </row>
  </sheetData>
  <mergeCells count="13">
    <mergeCell ref="Q36:Q37"/>
    <mergeCell ref="C56:C57"/>
    <mergeCell ref="D56:L56"/>
    <mergeCell ref="M56:M57"/>
    <mergeCell ref="C70:C71"/>
    <mergeCell ref="D70:L70"/>
    <mergeCell ref="M70:M71"/>
    <mergeCell ref="P36:P37"/>
    <mergeCell ref="C6:D6"/>
    <mergeCell ref="E6:L6"/>
    <mergeCell ref="D26:D34"/>
    <mergeCell ref="D36:L36"/>
    <mergeCell ref="N36:N37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Q54"/>
  <sheetViews>
    <sheetView showGridLines="0" topLeftCell="D4" workbookViewId="0">
      <selection activeCell="C6" sqref="C6:M24"/>
    </sheetView>
  </sheetViews>
  <sheetFormatPr defaultColWidth="9.453125" defaultRowHeight="14.5" x14ac:dyDescent="0.35"/>
  <cols>
    <col min="1" max="2" width="9.453125" style="1"/>
    <col min="3" max="3" width="41.54296875" style="1" bestFit="1" customWidth="1"/>
    <col min="4" max="4" width="42.6328125" style="1" customWidth="1"/>
    <col min="5" max="6" width="13.453125" style="2" bestFit="1" customWidth="1"/>
    <col min="7" max="7" width="14.36328125" style="2" bestFit="1" customWidth="1"/>
    <col min="8" max="8" width="13.453125" style="2" bestFit="1" customWidth="1"/>
    <col min="9" max="11" width="14.36328125" style="2" bestFit="1" customWidth="1"/>
    <col min="12" max="12" width="12.36328125" style="2" bestFit="1" customWidth="1"/>
    <col min="13" max="13" width="12.36328125" style="1" bestFit="1" customWidth="1"/>
    <col min="14" max="14" width="6.08984375" style="1" customWidth="1"/>
    <col min="15" max="15" width="0.36328125" style="1" customWidth="1"/>
    <col min="16" max="16" width="21" style="1" customWidth="1"/>
    <col min="17" max="17" width="21" style="1" bestFit="1" customWidth="1"/>
    <col min="18" max="16384" width="9.453125" style="1"/>
  </cols>
  <sheetData>
    <row r="4" spans="3:17" ht="15" thickBot="1" x14ac:dyDescent="0.4"/>
    <row r="5" spans="3:17" ht="15" thickBot="1" x14ac:dyDescent="0.4">
      <c r="N5" s="3"/>
      <c r="O5" s="3"/>
      <c r="P5" s="223" t="s">
        <v>108</v>
      </c>
      <c r="Q5" s="224"/>
    </row>
    <row r="6" spans="3:17" ht="30.75" customHeight="1" thickBot="1" x14ac:dyDescent="0.4">
      <c r="C6" s="225" t="s">
        <v>66</v>
      </c>
      <c r="D6" s="226"/>
      <c r="E6" s="226"/>
      <c r="F6" s="226"/>
      <c r="G6" s="226"/>
      <c r="H6" s="226"/>
      <c r="I6" s="226"/>
      <c r="J6" s="226"/>
      <c r="K6" s="226"/>
      <c r="L6" s="226"/>
      <c r="M6" s="77" t="s">
        <v>7</v>
      </c>
      <c r="N6" s="213"/>
      <c r="O6" s="3"/>
      <c r="P6" s="221" t="s">
        <v>65</v>
      </c>
      <c r="Q6" s="214" t="s">
        <v>64</v>
      </c>
    </row>
    <row r="7" spans="3:17" ht="15" thickBot="1" x14ac:dyDescent="0.4">
      <c r="C7" s="113" t="s">
        <v>9</v>
      </c>
      <c r="D7" s="113" t="s">
        <v>63</v>
      </c>
      <c r="E7" s="114" t="s">
        <v>62</v>
      </c>
      <c r="F7" s="114" t="s">
        <v>61</v>
      </c>
      <c r="G7" s="114" t="s">
        <v>60</v>
      </c>
      <c r="H7" s="114" t="s">
        <v>59</v>
      </c>
      <c r="I7" s="114" t="s">
        <v>58</v>
      </c>
      <c r="J7" s="114" t="s">
        <v>57</v>
      </c>
      <c r="K7" s="114" t="s">
        <v>56</v>
      </c>
      <c r="L7" s="115" t="s">
        <v>55</v>
      </c>
      <c r="M7" s="116" t="s">
        <v>54</v>
      </c>
      <c r="N7" s="213"/>
      <c r="O7" s="3"/>
      <c r="P7" s="222"/>
      <c r="Q7" s="215"/>
    </row>
    <row r="8" spans="3:17" ht="15" thickBot="1" x14ac:dyDescent="0.4">
      <c r="C8" s="69" t="s">
        <v>53</v>
      </c>
      <c r="D8" s="117" t="s">
        <v>52</v>
      </c>
      <c r="E8" s="68">
        <v>8009.8093795564755</v>
      </c>
      <c r="F8" s="68">
        <v>6371.4392791926512</v>
      </c>
      <c r="G8" s="68">
        <v>5097.1514233541211</v>
      </c>
      <c r="H8" s="68">
        <f>Tabela835[[#This Row],[Colunas1]]*Tabela835[[#Headers],[44]]</f>
        <v>4004.9046897782378</v>
      </c>
      <c r="I8" s="68">
        <v>3822.8635675155911</v>
      </c>
      <c r="J8" s="68">
        <v>2548.5757116770606</v>
      </c>
      <c r="K8" s="68">
        <v>1274.2878558385303</v>
      </c>
      <c r="L8" s="67">
        <v>364.08224452529436</v>
      </c>
      <c r="M8" s="66">
        <f>Tabela835[[#This Row],[88]]/Tabela835[[#Headers],[88]]</f>
        <v>91.020561131323589</v>
      </c>
      <c r="N8" s="61"/>
      <c r="O8" s="3"/>
      <c r="P8" s="65">
        <v>5000</v>
      </c>
      <c r="Q8" s="64">
        <v>88</v>
      </c>
    </row>
    <row r="9" spans="3:17" x14ac:dyDescent="0.35">
      <c r="C9" s="9" t="s">
        <v>51</v>
      </c>
      <c r="D9" s="51" t="s">
        <v>50</v>
      </c>
      <c r="E9" s="50">
        <v>9985.7390768615205</v>
      </c>
      <c r="F9" s="50">
        <v>7943.2015384125734</v>
      </c>
      <c r="G9" s="50">
        <v>6354.5612307300589</v>
      </c>
      <c r="H9" s="50">
        <f>Tabela835[[#This Row],[Colunas1]]*Tabela835[[#Headers],[44]]</f>
        <v>4992.8695384307603</v>
      </c>
      <c r="I9" s="50">
        <v>4765.9209230475444</v>
      </c>
      <c r="J9" s="50">
        <v>3177.2806153650299</v>
      </c>
      <c r="K9" s="50">
        <v>1588.640307682515</v>
      </c>
      <c r="L9" s="49">
        <v>453.89723076643287</v>
      </c>
      <c r="M9" s="48">
        <f>Tabela835[[#This Row],[88]]/Tabela835[[#Headers],[88]]</f>
        <v>113.47430769160819</v>
      </c>
      <c r="N9" s="58"/>
      <c r="O9" s="3"/>
      <c r="P9" s="63">
        <v>3977.2727272727275</v>
      </c>
      <c r="Q9" s="62">
        <v>70</v>
      </c>
    </row>
    <row r="10" spans="3:17" x14ac:dyDescent="0.35">
      <c r="C10" s="6" t="s">
        <v>49</v>
      </c>
      <c r="D10" s="46" t="s">
        <v>48</v>
      </c>
      <c r="E10" s="45">
        <v>10285.33278529555</v>
      </c>
      <c r="F10" s="45">
        <v>8181.514715576006</v>
      </c>
      <c r="G10" s="45">
        <v>6545.2117724608052</v>
      </c>
      <c r="H10" s="45">
        <f>Tabela835[[#This Row],[Colunas1]]*Tabela835[[#Headers],[44]]</f>
        <v>5142.666392647775</v>
      </c>
      <c r="I10" s="45">
        <v>4908.9088293456043</v>
      </c>
      <c r="J10" s="45">
        <v>3272.6058862304026</v>
      </c>
      <c r="K10" s="45">
        <v>1636.3029431152013</v>
      </c>
      <c r="L10" s="44">
        <v>467.51512660434321</v>
      </c>
      <c r="M10" s="43">
        <f>Tabela835[[#This Row],[88]]/Tabela835[[#Headers],[88]]</f>
        <v>116.87878165108579</v>
      </c>
      <c r="N10" s="61"/>
      <c r="O10" s="3"/>
      <c r="P10" s="60">
        <v>3181.818181818182</v>
      </c>
      <c r="Q10" s="59">
        <v>56</v>
      </c>
    </row>
    <row r="11" spans="3:17" x14ac:dyDescent="0.35">
      <c r="C11" s="6" t="s">
        <v>47</v>
      </c>
      <c r="D11" s="46" t="s">
        <v>46</v>
      </c>
      <c r="E11" s="45">
        <v>10593.883107787567</v>
      </c>
      <c r="F11" s="45">
        <v>8426.9524721037469</v>
      </c>
      <c r="G11" s="45">
        <v>6741.5619776829972</v>
      </c>
      <c r="H11" s="45">
        <f>Tabela835[[#This Row],[Colunas1]]*Tabela835[[#Headers],[44]]</f>
        <v>5296.9415538937837</v>
      </c>
      <c r="I11" s="45">
        <v>5056.1714832622483</v>
      </c>
      <c r="J11" s="45">
        <v>3370.780988841499</v>
      </c>
      <c r="K11" s="45">
        <v>1685.3904944207495</v>
      </c>
      <c r="L11" s="44">
        <v>481.54014126307129</v>
      </c>
      <c r="M11" s="43">
        <f>Tabela835[[#This Row],[88]]/Tabela835[[#Headers],[88]]</f>
        <v>120.38503531576781</v>
      </c>
      <c r="N11" s="58"/>
      <c r="O11" s="3"/>
      <c r="P11" s="63">
        <v>2500</v>
      </c>
      <c r="Q11" s="62">
        <v>44</v>
      </c>
    </row>
    <row r="12" spans="3:17" ht="15" thickBot="1" x14ac:dyDescent="0.4">
      <c r="C12" s="55" t="s">
        <v>45</v>
      </c>
      <c r="D12" s="54" t="s">
        <v>44</v>
      </c>
      <c r="E12" s="112">
        <v>10911.691952676607</v>
      </c>
      <c r="F12" s="112">
        <v>8679.7549623563918</v>
      </c>
      <c r="G12" s="112">
        <v>6943.8039698851135</v>
      </c>
      <c r="H12" s="112">
        <f>Tabela835[[#This Row],[Colunas1]]*Tabela835[[#Headers],[44]]</f>
        <v>5455.8459763383034</v>
      </c>
      <c r="I12" s="112">
        <v>5207.8529774138351</v>
      </c>
      <c r="J12" s="112">
        <v>3471.9019849425567</v>
      </c>
      <c r="K12" s="112">
        <v>1735.9509924712784</v>
      </c>
      <c r="L12" s="53">
        <v>495.98599784893668</v>
      </c>
      <c r="M12" s="52">
        <f>Tabela835[[#This Row],[88]]/Tabela835[[#Headers],[88]]</f>
        <v>123.99649946223417</v>
      </c>
      <c r="N12" s="61"/>
      <c r="O12" s="3"/>
      <c r="P12" s="60">
        <v>2386.3636363636365</v>
      </c>
      <c r="Q12" s="59">
        <v>42</v>
      </c>
    </row>
    <row r="13" spans="3:17" x14ac:dyDescent="0.35">
      <c r="C13" s="9" t="s">
        <v>43</v>
      </c>
      <c r="D13" s="51" t="s">
        <v>42</v>
      </c>
      <c r="E13" s="50">
        <v>12729.441807550809</v>
      </c>
      <c r="F13" s="50">
        <v>10125.692346915417</v>
      </c>
      <c r="G13" s="50">
        <v>8100.5538775323339</v>
      </c>
      <c r="H13" s="50">
        <f>Tabela835[[#This Row],[Colunas1]]*Tabela835[[#Headers],[44]]</f>
        <v>6364.7209037754046</v>
      </c>
      <c r="I13" s="50">
        <v>6075.4154081492507</v>
      </c>
      <c r="J13" s="50">
        <v>4050.2769387661674</v>
      </c>
      <c r="K13" s="50">
        <v>2025.1384693830837</v>
      </c>
      <c r="L13" s="49">
        <v>578.61099125230965</v>
      </c>
      <c r="M13" s="48">
        <f>Tabela835[[#This Row],[88]]/Tabela835[[#Headers],[88]]</f>
        <v>144.65274781307738</v>
      </c>
      <c r="N13" s="58"/>
      <c r="O13" s="3"/>
      <c r="P13" s="63">
        <v>1590.909090909091</v>
      </c>
      <c r="Q13" s="62">
        <v>28</v>
      </c>
    </row>
    <row r="14" spans="3:17" x14ac:dyDescent="0.35">
      <c r="C14" s="6" t="s">
        <v>41</v>
      </c>
      <c r="D14" s="46" t="s">
        <v>40</v>
      </c>
      <c r="E14" s="45">
        <v>13111.335729205317</v>
      </c>
      <c r="F14" s="45">
        <v>10429.471602776957</v>
      </c>
      <c r="G14" s="45">
        <v>8343.5772822215658</v>
      </c>
      <c r="H14" s="45">
        <f>Tabela835[[#This Row],[Colunas1]]*Tabela835[[#Headers],[44]]</f>
        <v>6555.6678646026594</v>
      </c>
      <c r="I14" s="45">
        <v>6257.6829616661744</v>
      </c>
      <c r="J14" s="45">
        <v>4171.7886411107829</v>
      </c>
      <c r="K14" s="45">
        <v>2085.8943205553915</v>
      </c>
      <c r="L14" s="44">
        <v>595.969805872969</v>
      </c>
      <c r="M14" s="43">
        <f>Tabela835[[#This Row],[88]]/Tabela835[[#Headers],[88]]</f>
        <v>148.99245146824225</v>
      </c>
      <c r="N14" s="61"/>
      <c r="O14" s="3"/>
      <c r="P14" s="60">
        <v>795.4545454545455</v>
      </c>
      <c r="Q14" s="59">
        <v>14</v>
      </c>
    </row>
    <row r="15" spans="3:17" ht="15" thickBot="1" x14ac:dyDescent="0.4">
      <c r="C15" s="6" t="s">
        <v>39</v>
      </c>
      <c r="D15" s="46" t="s">
        <v>38</v>
      </c>
      <c r="E15" s="45">
        <v>13504.651849686577</v>
      </c>
      <c r="F15" s="45">
        <v>10742.336698614323</v>
      </c>
      <c r="G15" s="45">
        <v>8593.8693588914575</v>
      </c>
      <c r="H15" s="45">
        <f>Tabela835[[#This Row],[Colunas1]]*Tabela835[[#Headers],[44]]</f>
        <v>6752.3259248432887</v>
      </c>
      <c r="I15" s="45">
        <v>6445.4020191685941</v>
      </c>
      <c r="J15" s="45">
        <v>4296.9346794457297</v>
      </c>
      <c r="K15" s="45">
        <v>2148.4673397228648</v>
      </c>
      <c r="L15" s="44">
        <v>613.84781134938999</v>
      </c>
      <c r="M15" s="43">
        <f>Tabela835[[#This Row],[88]]/Tabela835[[#Headers],[88]]</f>
        <v>153.46195283734747</v>
      </c>
      <c r="N15" s="58"/>
      <c r="O15" s="3"/>
      <c r="P15" s="57">
        <v>227.27272727272728</v>
      </c>
      <c r="Q15" s="56">
        <v>4</v>
      </c>
    </row>
    <row r="16" spans="3:17" ht="15" thickBot="1" x14ac:dyDescent="0.4">
      <c r="C16" s="55" t="s">
        <v>37</v>
      </c>
      <c r="D16" s="54" t="s">
        <v>36</v>
      </c>
      <c r="E16" s="112">
        <v>13909.792713446641</v>
      </c>
      <c r="F16" s="112">
        <v>11064.607840241646</v>
      </c>
      <c r="G16" s="112">
        <v>8851.6862721933176</v>
      </c>
      <c r="H16" s="112">
        <f>Tabela835[[#This Row],[Colunas1]]*Tabela835[[#Headers],[44]]</f>
        <v>6954.8963567233204</v>
      </c>
      <c r="I16" s="112">
        <v>6638.7647041449882</v>
      </c>
      <c r="J16" s="112">
        <v>4425.8431360966588</v>
      </c>
      <c r="K16" s="112">
        <v>2212.9215680483294</v>
      </c>
      <c r="L16" s="53">
        <v>632.26330515666552</v>
      </c>
      <c r="M16" s="52">
        <f>Tabela835[[#This Row],[88]]/Tabela835[[#Headers],[88]]</f>
        <v>158.06582628916638</v>
      </c>
      <c r="N16" s="3"/>
      <c r="O16" s="3"/>
    </row>
    <row r="17" spans="3:15" x14ac:dyDescent="0.35">
      <c r="C17" s="9" t="s">
        <v>35</v>
      </c>
      <c r="D17" s="51" t="s">
        <v>34</v>
      </c>
      <c r="E17" s="50">
        <v>16500.770079030299</v>
      </c>
      <c r="F17" s="50">
        <v>13125.61256286501</v>
      </c>
      <c r="G17" s="50">
        <v>10500.490050292008</v>
      </c>
      <c r="H17" s="50">
        <f>Tabela835[[#This Row],[Colunas1]]*Tabela835[[#Headers],[44]]</f>
        <v>8250.3850395151494</v>
      </c>
      <c r="I17" s="50">
        <v>7875.3675377190066</v>
      </c>
      <c r="J17" s="50">
        <v>5250.2450251460041</v>
      </c>
      <c r="K17" s="50">
        <v>2625.122512573002</v>
      </c>
      <c r="L17" s="49">
        <v>750.03500359228633</v>
      </c>
      <c r="M17" s="48">
        <f>Tabela835[[#This Row],[88]]/Tabela835[[#Headers],[88]]</f>
        <v>187.50875089807158</v>
      </c>
      <c r="N17" s="3"/>
      <c r="O17" s="3"/>
    </row>
    <row r="18" spans="3:15" x14ac:dyDescent="0.35">
      <c r="C18" s="6" t="s">
        <v>33</v>
      </c>
      <c r="D18" s="46" t="s">
        <v>32</v>
      </c>
      <c r="E18" s="45">
        <v>16995.809182543173</v>
      </c>
      <c r="F18" s="45">
        <v>13519.393667932069</v>
      </c>
      <c r="G18" s="45">
        <v>10815.514934345654</v>
      </c>
      <c r="H18" s="45">
        <f>Tabela835[[#This Row],[Colunas1]]*Tabela835[[#Headers],[44]]</f>
        <v>8497.9045912715865</v>
      </c>
      <c r="I18" s="45">
        <v>8111.6362007592415</v>
      </c>
      <c r="J18" s="45">
        <v>5407.757467172828</v>
      </c>
      <c r="K18" s="45">
        <v>2703.878733586414</v>
      </c>
      <c r="L18" s="44">
        <v>772.53678102468973</v>
      </c>
      <c r="M18" s="43">
        <f>Tabela835[[#This Row],[88]]/Tabela835[[#Headers],[88]]</f>
        <v>193.13419525617243</v>
      </c>
      <c r="N18" s="3"/>
      <c r="O18" s="3"/>
    </row>
    <row r="19" spans="3:15" x14ac:dyDescent="0.35">
      <c r="C19" s="6" t="s">
        <v>31</v>
      </c>
      <c r="D19" s="46" t="s">
        <v>30</v>
      </c>
      <c r="E19" s="45">
        <v>17505.671985502599</v>
      </c>
      <c r="F19" s="45">
        <v>13924.966352104329</v>
      </c>
      <c r="G19" s="45">
        <v>11139.973081683464</v>
      </c>
      <c r="H19" s="45">
        <f>Tabela835[[#This Row],[Colunas1]]*Tabela835[[#Headers],[44]]</f>
        <v>8752.8359927512993</v>
      </c>
      <c r="I19" s="45">
        <v>8354.9798112625977</v>
      </c>
      <c r="J19" s="45">
        <v>5569.9865408417318</v>
      </c>
      <c r="K19" s="45">
        <v>2784.9932704208659</v>
      </c>
      <c r="L19" s="44">
        <v>795.71236297739028</v>
      </c>
      <c r="M19" s="43">
        <f>Tabela835[[#This Row],[88]]/Tabela835[[#Headers],[88]]</f>
        <v>198.92809074434771</v>
      </c>
      <c r="N19" s="3"/>
      <c r="O19" s="3"/>
    </row>
    <row r="20" spans="3:15" ht="15" thickBot="1" x14ac:dyDescent="0.4">
      <c r="C20" s="55" t="s">
        <v>29</v>
      </c>
      <c r="D20" s="54" t="s">
        <v>28</v>
      </c>
      <c r="E20" s="112">
        <v>0</v>
      </c>
      <c r="F20" s="112">
        <v>14342.706857213383</v>
      </c>
      <c r="G20" s="112">
        <v>11474.165485770707</v>
      </c>
      <c r="H20" s="112">
        <f>Tabela835[[#This Row],[Colunas1]]*Tabela835[[#Headers],[44]]</f>
        <v>9015.41573881984</v>
      </c>
      <c r="I20" s="112">
        <v>8605.6241143280313</v>
      </c>
      <c r="J20" s="112">
        <v>5737.0827428853545</v>
      </c>
      <c r="K20" s="112">
        <v>2868.5413714426772</v>
      </c>
      <c r="L20" s="53">
        <v>819.58324898362207</v>
      </c>
      <c r="M20" s="52">
        <f>Tabela835[[#This Row],[70]]/Tabela835[[#Headers],[70]]</f>
        <v>204.89581224590546</v>
      </c>
    </row>
    <row r="21" spans="3:15" x14ac:dyDescent="0.35">
      <c r="C21" s="9" t="s">
        <v>27</v>
      </c>
      <c r="D21" s="51" t="s">
        <v>26</v>
      </c>
      <c r="E21" s="50">
        <v>0</v>
      </c>
      <c r="F21" s="50">
        <v>0</v>
      </c>
      <c r="G21" s="50">
        <v>0</v>
      </c>
      <c r="H21" s="50">
        <f>Tabela835[[#This Row],[Colunas1]]*Tabela835[[#Headers],[44]]</f>
        <v>11601.049326802606</v>
      </c>
      <c r="I21" s="50">
        <v>11073.728902857032</v>
      </c>
      <c r="J21" s="50">
        <v>7382.4859352380217</v>
      </c>
      <c r="K21" s="50">
        <v>3691.2429676190109</v>
      </c>
      <c r="L21" s="49">
        <v>1054.640847891146</v>
      </c>
      <c r="M21" s="48">
        <f>Tabela835[[#This Row],[42]]/Tabela835[[#Headers],[42]]</f>
        <v>263.6602119727865</v>
      </c>
    </row>
    <row r="22" spans="3:15" x14ac:dyDescent="0.35">
      <c r="C22" s="47"/>
      <c r="D22" s="46" t="s">
        <v>25</v>
      </c>
      <c r="E22" s="45">
        <v>0</v>
      </c>
      <c r="F22" s="45">
        <v>0</v>
      </c>
      <c r="G22" s="45">
        <v>0</v>
      </c>
      <c r="H22" s="45"/>
      <c r="I22" s="45">
        <v>0</v>
      </c>
      <c r="J22" s="45">
        <v>7919.0035850390541</v>
      </c>
      <c r="K22" s="45">
        <v>3959.501792519527</v>
      </c>
      <c r="L22" s="44">
        <v>1131.2862264341506</v>
      </c>
      <c r="M22" s="43">
        <f>Tabela835[[#This Row],[28]]/Tabela835[[#Headers],[28]]</f>
        <v>282.82155660853766</v>
      </c>
    </row>
    <row r="23" spans="3:15" x14ac:dyDescent="0.35">
      <c r="C23" s="47"/>
      <c r="D23" s="46" t="s">
        <v>24</v>
      </c>
      <c r="E23" s="45">
        <v>0</v>
      </c>
      <c r="F23" s="45">
        <v>0</v>
      </c>
      <c r="G23" s="45">
        <v>0</v>
      </c>
      <c r="H23" s="45"/>
      <c r="I23" s="45">
        <v>0</v>
      </c>
      <c r="J23" s="45">
        <v>8455.5212348400855</v>
      </c>
      <c r="K23" s="45">
        <v>4227.7606174200428</v>
      </c>
      <c r="L23" s="44">
        <v>1207.9316049771551</v>
      </c>
      <c r="M23" s="43">
        <f>Tabela835[[#This Row],[28]]/Tabela835[[#Headers],[28]]</f>
        <v>301.98290124428877</v>
      </c>
    </row>
    <row r="24" spans="3:15" ht="15" thickBot="1" x14ac:dyDescent="0.4">
      <c r="C24" s="42"/>
      <c r="D24" s="41" t="s">
        <v>23</v>
      </c>
      <c r="E24" s="40">
        <v>0</v>
      </c>
      <c r="F24" s="40">
        <v>0</v>
      </c>
      <c r="G24" s="40">
        <v>0</v>
      </c>
      <c r="H24" s="40"/>
      <c r="I24" s="40">
        <v>0</v>
      </c>
      <c r="J24" s="40">
        <v>8601.0900000000038</v>
      </c>
      <c r="K24" s="40">
        <v>4300.5450000000019</v>
      </c>
      <c r="L24" s="39">
        <v>1228.7271428571435</v>
      </c>
      <c r="M24" s="38">
        <f>Tabela835[[#This Row],[28]]/Tabela835[[#Headers],[28]]</f>
        <v>307.18178571428587</v>
      </c>
    </row>
    <row r="25" spans="3:15" ht="15" thickBot="1" x14ac:dyDescent="0.4"/>
    <row r="26" spans="3:15" ht="15" thickBot="1" x14ac:dyDescent="0.4">
      <c r="C26" s="216" t="s">
        <v>6</v>
      </c>
      <c r="D26" s="218" t="s">
        <v>22</v>
      </c>
      <c r="E26" s="211"/>
      <c r="F26" s="211"/>
      <c r="G26" s="211"/>
      <c r="H26" s="211"/>
      <c r="I26" s="211"/>
      <c r="J26" s="211"/>
      <c r="K26" s="211"/>
      <c r="L26" s="212"/>
      <c r="M26" s="219" t="s">
        <v>7</v>
      </c>
    </row>
    <row r="27" spans="3:15" ht="15" thickBot="1" x14ac:dyDescent="0.4">
      <c r="C27" s="217"/>
      <c r="D27" s="12" t="s">
        <v>21</v>
      </c>
      <c r="E27" s="11">
        <v>88</v>
      </c>
      <c r="F27" s="11">
        <v>70</v>
      </c>
      <c r="G27" s="11">
        <v>56</v>
      </c>
      <c r="H27" s="11">
        <v>44</v>
      </c>
      <c r="I27" s="11">
        <v>42</v>
      </c>
      <c r="J27" s="11">
        <v>28</v>
      </c>
      <c r="K27" s="11">
        <v>14</v>
      </c>
      <c r="L27" s="10">
        <v>4</v>
      </c>
      <c r="M27" s="220"/>
    </row>
    <row r="28" spans="3:15" ht="15" thickBot="1" x14ac:dyDescent="0.4">
      <c r="C28" s="37" t="s">
        <v>20</v>
      </c>
      <c r="D28" s="36" t="s">
        <v>20</v>
      </c>
      <c r="E28" s="35">
        <v>9500</v>
      </c>
      <c r="F28" s="35">
        <v>7556.818181818182</v>
      </c>
      <c r="G28" s="35">
        <v>6045.454545454545</v>
      </c>
      <c r="H28" s="35">
        <v>4750</v>
      </c>
      <c r="I28" s="35">
        <v>4534.090909090909</v>
      </c>
      <c r="J28" s="34">
        <v>3022.7272727272725</v>
      </c>
      <c r="K28" s="34">
        <v>1511.3636363636363</v>
      </c>
      <c r="L28" s="34">
        <v>431.81818181818181</v>
      </c>
      <c r="M28" s="33">
        <f>E28/$E$27</f>
        <v>107.95454545454545</v>
      </c>
    </row>
    <row r="29" spans="3:15" ht="15" thickBot="1" x14ac:dyDescent="0.4">
      <c r="C29" s="37" t="s">
        <v>19</v>
      </c>
      <c r="D29" s="36" t="s">
        <v>19</v>
      </c>
      <c r="E29" s="35">
        <v>8500</v>
      </c>
      <c r="F29" s="35">
        <v>6761.3636363636369</v>
      </c>
      <c r="G29" s="35">
        <v>5409.090909090909</v>
      </c>
      <c r="H29" s="35">
        <v>4250</v>
      </c>
      <c r="I29" s="35">
        <v>4056.818181818182</v>
      </c>
      <c r="J29" s="34">
        <v>2704.5454545454545</v>
      </c>
      <c r="K29" s="34">
        <v>1352.2727272727273</v>
      </c>
      <c r="L29" s="34">
        <v>386.36363636363637</v>
      </c>
      <c r="M29" s="33">
        <f t="shared" ref="M29:M38" si="0">E29/$E$27</f>
        <v>96.590909090909093</v>
      </c>
    </row>
    <row r="30" spans="3:15" x14ac:dyDescent="0.35">
      <c r="C30" s="27" t="s">
        <v>18</v>
      </c>
      <c r="D30" s="26" t="s">
        <v>18</v>
      </c>
      <c r="E30" s="25">
        <v>7500</v>
      </c>
      <c r="F30" s="25">
        <v>5965.909090909091</v>
      </c>
      <c r="G30" s="25">
        <v>4772.727272727273</v>
      </c>
      <c r="H30" s="25">
        <v>3750.0000000000005</v>
      </c>
      <c r="I30" s="25">
        <v>3579.545454545455</v>
      </c>
      <c r="J30" s="24">
        <v>2386.3636363636365</v>
      </c>
      <c r="K30" s="24">
        <v>1193.1818181818182</v>
      </c>
      <c r="L30" s="24">
        <v>340.90909090909093</v>
      </c>
      <c r="M30" s="23">
        <f t="shared" si="0"/>
        <v>85.227272727272734</v>
      </c>
    </row>
    <row r="31" spans="3:15" x14ac:dyDescent="0.35">
      <c r="C31" s="22" t="s">
        <v>17</v>
      </c>
      <c r="D31" s="21" t="s">
        <v>17</v>
      </c>
      <c r="E31" s="20">
        <v>6500</v>
      </c>
      <c r="F31" s="20">
        <v>5170.454545454545</v>
      </c>
      <c r="G31" s="20">
        <v>4136.363636363636</v>
      </c>
      <c r="H31" s="20">
        <v>3250</v>
      </c>
      <c r="I31" s="20">
        <v>3102.272727272727</v>
      </c>
      <c r="J31" s="19">
        <v>2068.181818181818</v>
      </c>
      <c r="K31" s="19">
        <v>1034.090909090909</v>
      </c>
      <c r="L31" s="19">
        <v>295.45454545454544</v>
      </c>
      <c r="M31" s="18">
        <f t="shared" si="0"/>
        <v>73.86363636363636</v>
      </c>
    </row>
    <row r="32" spans="3:15" x14ac:dyDescent="0.35">
      <c r="C32" s="22" t="s">
        <v>16</v>
      </c>
      <c r="D32" s="21" t="s">
        <v>16</v>
      </c>
      <c r="E32" s="20">
        <v>5500</v>
      </c>
      <c r="F32" s="20">
        <v>4375</v>
      </c>
      <c r="G32" s="20">
        <v>3500</v>
      </c>
      <c r="H32" s="20">
        <v>2750</v>
      </c>
      <c r="I32" s="20">
        <v>2625</v>
      </c>
      <c r="J32" s="19">
        <v>1750</v>
      </c>
      <c r="K32" s="19">
        <v>875</v>
      </c>
      <c r="L32" s="19">
        <v>250</v>
      </c>
      <c r="M32" s="18">
        <f t="shared" si="0"/>
        <v>62.5</v>
      </c>
    </row>
    <row r="33" spans="3:13" ht="15" thickBot="1" x14ac:dyDescent="0.4">
      <c r="C33" s="32" t="s">
        <v>15</v>
      </c>
      <c r="D33" s="31" t="s">
        <v>15</v>
      </c>
      <c r="E33" s="30">
        <v>4500</v>
      </c>
      <c r="F33" s="30">
        <v>3579.5454545454545</v>
      </c>
      <c r="G33" s="30">
        <v>2863.6363636363635</v>
      </c>
      <c r="H33" s="30">
        <v>2250</v>
      </c>
      <c r="I33" s="30">
        <v>2147.7272727272725</v>
      </c>
      <c r="J33" s="29">
        <v>1431.8181818181818</v>
      </c>
      <c r="K33" s="29">
        <v>715.90909090909088</v>
      </c>
      <c r="L33" s="29">
        <v>204.54545454545453</v>
      </c>
      <c r="M33" s="28">
        <f t="shared" si="0"/>
        <v>51.136363636363633</v>
      </c>
    </row>
    <row r="34" spans="3:13" x14ac:dyDescent="0.35">
      <c r="C34" s="27" t="s">
        <v>14</v>
      </c>
      <c r="D34" s="26" t="s">
        <v>14</v>
      </c>
      <c r="E34" s="25">
        <v>3500</v>
      </c>
      <c r="F34" s="25">
        <v>2784.090909090909</v>
      </c>
      <c r="G34" s="25">
        <v>2227.2727272727275</v>
      </c>
      <c r="H34" s="25">
        <v>1750</v>
      </c>
      <c r="I34" s="25">
        <v>1670.4545454545455</v>
      </c>
      <c r="J34" s="24">
        <v>1113.6363636363637</v>
      </c>
      <c r="K34" s="24">
        <v>556.81818181818187</v>
      </c>
      <c r="L34" s="24">
        <v>159.09090909090909</v>
      </c>
      <c r="M34" s="23">
        <f t="shared" si="0"/>
        <v>39.772727272727273</v>
      </c>
    </row>
    <row r="35" spans="3:13" x14ac:dyDescent="0.35">
      <c r="C35" s="22" t="s">
        <v>13</v>
      </c>
      <c r="D35" s="21" t="s">
        <v>13</v>
      </c>
      <c r="E35" s="20">
        <v>2500</v>
      </c>
      <c r="F35" s="20">
        <v>1988.6363636363637</v>
      </c>
      <c r="G35" s="20">
        <v>1590.909090909091</v>
      </c>
      <c r="H35" s="20">
        <v>1250</v>
      </c>
      <c r="I35" s="20">
        <v>1193.1818181818182</v>
      </c>
      <c r="J35" s="19">
        <v>795.4545454545455</v>
      </c>
      <c r="K35" s="19">
        <v>397.72727272727275</v>
      </c>
      <c r="L35" s="19">
        <v>113.63636363636364</v>
      </c>
      <c r="M35" s="18">
        <f t="shared" si="0"/>
        <v>28.40909090909091</v>
      </c>
    </row>
    <row r="36" spans="3:13" x14ac:dyDescent="0.35">
      <c r="C36" s="22" t="s">
        <v>12</v>
      </c>
      <c r="D36" s="21" t="s">
        <v>12</v>
      </c>
      <c r="E36" s="20">
        <v>1800</v>
      </c>
      <c r="F36" s="20">
        <v>1431.8181818181818</v>
      </c>
      <c r="G36" s="20">
        <v>1145.4545454545455</v>
      </c>
      <c r="H36" s="20">
        <v>900</v>
      </c>
      <c r="I36" s="20">
        <v>859.09090909090901</v>
      </c>
      <c r="J36" s="19">
        <v>572.72727272727275</v>
      </c>
      <c r="K36" s="19">
        <v>286.36363636363637</v>
      </c>
      <c r="L36" s="19">
        <v>81.818181818181813</v>
      </c>
      <c r="M36" s="18">
        <f t="shared" si="0"/>
        <v>20.454545454545453</v>
      </c>
    </row>
    <row r="37" spans="3:13" x14ac:dyDescent="0.35">
      <c r="C37" s="22" t="s">
        <v>11</v>
      </c>
      <c r="D37" s="21" t="s">
        <v>11</v>
      </c>
      <c r="E37" s="20">
        <v>1500</v>
      </c>
      <c r="F37" s="20">
        <v>1193.1818181818182</v>
      </c>
      <c r="G37" s="20">
        <v>954.54545454545462</v>
      </c>
      <c r="H37" s="20">
        <v>750</v>
      </c>
      <c r="I37" s="20">
        <v>715.90909090909099</v>
      </c>
      <c r="J37" s="19">
        <v>477.27272727272731</v>
      </c>
      <c r="K37" s="19">
        <v>238.63636363636365</v>
      </c>
      <c r="L37" s="19">
        <v>68.181818181818187</v>
      </c>
      <c r="M37" s="18">
        <f t="shared" si="0"/>
        <v>17.045454545454547</v>
      </c>
    </row>
    <row r="38" spans="3:13" ht="15" thickBot="1" x14ac:dyDescent="0.4">
      <c r="C38" s="17" t="s">
        <v>10</v>
      </c>
      <c r="D38" s="16" t="s">
        <v>10</v>
      </c>
      <c r="E38" s="15">
        <v>1200</v>
      </c>
      <c r="F38" s="15">
        <v>954.54545454545462</v>
      </c>
      <c r="G38" s="15">
        <v>763.63636363636363</v>
      </c>
      <c r="H38" s="15">
        <v>600</v>
      </c>
      <c r="I38" s="15">
        <v>572.72727272727275</v>
      </c>
      <c r="J38" s="14">
        <v>381.81818181818181</v>
      </c>
      <c r="K38" s="14">
        <v>190.90909090909091</v>
      </c>
      <c r="L38" s="14">
        <v>54.545454545454547</v>
      </c>
      <c r="M38" s="13">
        <f t="shared" si="0"/>
        <v>13.636363636363637</v>
      </c>
    </row>
    <row r="39" spans="3:13" ht="15" thickBot="1" x14ac:dyDescent="0.4">
      <c r="L39" s="4"/>
    </row>
    <row r="40" spans="3:13" s="3" customFormat="1" ht="15" thickBot="1" x14ac:dyDescent="0.4">
      <c r="C40" s="216" t="s">
        <v>9</v>
      </c>
      <c r="D40" s="218" t="s">
        <v>8</v>
      </c>
      <c r="E40" s="211"/>
      <c r="F40" s="211"/>
      <c r="G40" s="211"/>
      <c r="H40" s="211"/>
      <c r="I40" s="211"/>
      <c r="J40" s="211"/>
      <c r="K40" s="211"/>
      <c r="L40" s="212"/>
      <c r="M40" s="219" t="s">
        <v>7</v>
      </c>
    </row>
    <row r="41" spans="3:13" s="3" customFormat="1" ht="15" thickBot="1" x14ac:dyDescent="0.4">
      <c r="C41" s="217"/>
      <c r="D41" s="12" t="s">
        <v>6</v>
      </c>
      <c r="E41" s="11">
        <v>88</v>
      </c>
      <c r="F41" s="11">
        <v>70</v>
      </c>
      <c r="G41" s="11">
        <v>56</v>
      </c>
      <c r="H41" s="11">
        <v>44</v>
      </c>
      <c r="I41" s="11">
        <v>42</v>
      </c>
      <c r="J41" s="11">
        <v>28</v>
      </c>
      <c r="K41" s="11">
        <v>14</v>
      </c>
      <c r="L41" s="10">
        <v>4</v>
      </c>
      <c r="M41" s="220"/>
    </row>
    <row r="42" spans="3:13" s="3" customFormat="1" x14ac:dyDescent="0.35">
      <c r="C42" s="9" t="s">
        <v>0</v>
      </c>
      <c r="D42" s="8" t="s">
        <v>70</v>
      </c>
      <c r="E42" s="70">
        <v>3070.45</v>
      </c>
      <c r="F42" s="70">
        <f>M42*$F$41</f>
        <v>2442.403409090909</v>
      </c>
      <c r="G42" s="70">
        <f>M42*$G$41</f>
        <v>1953.9227272727271</v>
      </c>
      <c r="H42" s="70">
        <f>M42*$H$41</f>
        <v>1535.2249999999999</v>
      </c>
      <c r="I42" s="70">
        <f>M42*$I$41</f>
        <v>1465.4420454545455</v>
      </c>
      <c r="J42" s="70">
        <f>M42*$J$41</f>
        <v>976.96136363636356</v>
      </c>
      <c r="K42" s="70">
        <f>M42*$K$41</f>
        <v>488.48068181818178</v>
      </c>
      <c r="L42" s="70">
        <f>M42*$L$41</f>
        <v>139.56590909090909</v>
      </c>
      <c r="M42" s="118">
        <f>E42/$E$41</f>
        <v>34.891477272727272</v>
      </c>
    </row>
    <row r="43" spans="3:13" s="3" customFormat="1" x14ac:dyDescent="0.35">
      <c r="C43" s="6" t="s">
        <v>5</v>
      </c>
      <c r="D43" s="8" t="s">
        <v>72</v>
      </c>
      <c r="E43" s="71">
        <v>4415.46</v>
      </c>
      <c r="F43" s="71">
        <f t="shared" ref="F43:F50" si="1">M43*$F$41</f>
        <v>3512.2977272727276</v>
      </c>
      <c r="G43" s="71">
        <f t="shared" ref="G43:G50" si="2">M43*$G$41</f>
        <v>2809.838181818182</v>
      </c>
      <c r="H43" s="71">
        <f t="shared" ref="H43:H50" si="3">M43*$H$41</f>
        <v>2207.73</v>
      </c>
      <c r="I43" s="71">
        <f t="shared" ref="I43:I50" si="4">M43*$I$41</f>
        <v>2107.3786363636364</v>
      </c>
      <c r="J43" s="71">
        <f t="shared" ref="J43:J50" si="5">M43*$J$41</f>
        <v>1404.919090909091</v>
      </c>
      <c r="K43" s="71">
        <f t="shared" ref="K43:K50" si="6">M43*$K$41</f>
        <v>702.45954545454549</v>
      </c>
      <c r="L43" s="71">
        <f t="shared" ref="L43:L50" si="7">M43*$L$41</f>
        <v>200.70272727272729</v>
      </c>
      <c r="M43" s="119">
        <f t="shared" ref="M43:M50" si="8">E43/$E$41</f>
        <v>50.175681818181822</v>
      </c>
    </row>
    <row r="44" spans="3:13" s="3" customFormat="1" x14ac:dyDescent="0.35">
      <c r="C44" s="6" t="s">
        <v>4</v>
      </c>
      <c r="D44" s="8" t="s">
        <v>71</v>
      </c>
      <c r="E44" s="71">
        <v>4000</v>
      </c>
      <c r="F44" s="71">
        <f t="shared" si="1"/>
        <v>3181.8181818181815</v>
      </c>
      <c r="G44" s="71">
        <f t="shared" si="2"/>
        <v>2545.4545454545455</v>
      </c>
      <c r="H44" s="71">
        <f t="shared" si="3"/>
        <v>2000</v>
      </c>
      <c r="I44" s="71">
        <f t="shared" si="4"/>
        <v>1909.090909090909</v>
      </c>
      <c r="J44" s="71">
        <f t="shared" si="5"/>
        <v>1272.7272727272727</v>
      </c>
      <c r="K44" s="71">
        <f t="shared" si="6"/>
        <v>636.36363636363637</v>
      </c>
      <c r="L44" s="71">
        <f t="shared" si="7"/>
        <v>181.81818181818181</v>
      </c>
      <c r="M44" s="119">
        <f t="shared" si="8"/>
        <v>45.454545454545453</v>
      </c>
    </row>
    <row r="45" spans="3:13" s="3" customFormat="1" x14ac:dyDescent="0.35">
      <c r="C45" s="6" t="s">
        <v>3</v>
      </c>
      <c r="D45" s="8" t="s">
        <v>73</v>
      </c>
      <c r="E45" s="71">
        <v>3000</v>
      </c>
      <c r="F45" s="71">
        <f t="shared" si="1"/>
        <v>2386.3636363636365</v>
      </c>
      <c r="G45" s="71">
        <f t="shared" si="2"/>
        <v>1909.0909090909092</v>
      </c>
      <c r="H45" s="71">
        <f t="shared" si="3"/>
        <v>1500</v>
      </c>
      <c r="I45" s="71">
        <f t="shared" si="4"/>
        <v>1431.818181818182</v>
      </c>
      <c r="J45" s="71">
        <f t="shared" si="5"/>
        <v>954.54545454545462</v>
      </c>
      <c r="K45" s="71">
        <f t="shared" si="6"/>
        <v>477.27272727272731</v>
      </c>
      <c r="L45" s="71">
        <f t="shared" si="7"/>
        <v>136.36363636363637</v>
      </c>
      <c r="M45" s="119">
        <f t="shared" si="8"/>
        <v>34.090909090909093</v>
      </c>
    </row>
    <row r="46" spans="3:13" s="3" customFormat="1" x14ac:dyDescent="0.35">
      <c r="C46" s="6" t="s">
        <v>2</v>
      </c>
      <c r="D46" s="8" t="s">
        <v>74</v>
      </c>
      <c r="E46" s="71">
        <v>2000</v>
      </c>
      <c r="F46" s="71">
        <f t="shared" si="1"/>
        <v>1590.9090909090908</v>
      </c>
      <c r="G46" s="71">
        <f t="shared" si="2"/>
        <v>1272.7272727272727</v>
      </c>
      <c r="H46" s="71">
        <f t="shared" si="3"/>
        <v>1000</v>
      </c>
      <c r="I46" s="71">
        <f t="shared" si="4"/>
        <v>954.5454545454545</v>
      </c>
      <c r="J46" s="71">
        <f t="shared" si="5"/>
        <v>636.36363636363637</v>
      </c>
      <c r="K46" s="71">
        <f t="shared" si="6"/>
        <v>318.18181818181819</v>
      </c>
      <c r="L46" s="71">
        <f t="shared" si="7"/>
        <v>90.909090909090907</v>
      </c>
      <c r="M46" s="119">
        <f t="shared" si="8"/>
        <v>22.727272727272727</v>
      </c>
    </row>
    <row r="47" spans="3:13" s="3" customFormat="1" x14ac:dyDescent="0.35">
      <c r="C47" s="6" t="s">
        <v>1</v>
      </c>
      <c r="D47" s="7" t="s">
        <v>78</v>
      </c>
      <c r="E47" s="71">
        <v>9000</v>
      </c>
      <c r="F47" s="71">
        <f t="shared" si="1"/>
        <v>7159.090909090909</v>
      </c>
      <c r="G47" s="71">
        <f t="shared" si="2"/>
        <v>5727.272727272727</v>
      </c>
      <c r="H47" s="71">
        <f t="shared" si="3"/>
        <v>4500</v>
      </c>
      <c r="I47" s="71">
        <f t="shared" si="4"/>
        <v>4295.454545454545</v>
      </c>
      <c r="J47" s="71">
        <f t="shared" si="5"/>
        <v>2863.6363636363635</v>
      </c>
      <c r="K47" s="71">
        <f t="shared" si="6"/>
        <v>1431.8181818181818</v>
      </c>
      <c r="L47" s="71">
        <f t="shared" si="7"/>
        <v>409.09090909090907</v>
      </c>
      <c r="M47" s="119">
        <f t="shared" si="8"/>
        <v>102.27272727272727</v>
      </c>
    </row>
    <row r="48" spans="3:13" s="3" customFormat="1" x14ac:dyDescent="0.35">
      <c r="C48" s="6" t="s">
        <v>69</v>
      </c>
      <c r="D48" s="7" t="s">
        <v>75</v>
      </c>
      <c r="E48" s="71">
        <v>10000</v>
      </c>
      <c r="F48" s="71">
        <f t="shared" si="1"/>
        <v>7954.545454545455</v>
      </c>
      <c r="G48" s="71">
        <f t="shared" si="2"/>
        <v>6363.636363636364</v>
      </c>
      <c r="H48" s="71">
        <f t="shared" si="3"/>
        <v>5000</v>
      </c>
      <c r="I48" s="71">
        <f t="shared" si="4"/>
        <v>4772.727272727273</v>
      </c>
      <c r="J48" s="71">
        <f t="shared" si="5"/>
        <v>3181.818181818182</v>
      </c>
      <c r="K48" s="71">
        <f t="shared" si="6"/>
        <v>1590.909090909091</v>
      </c>
      <c r="L48" s="71">
        <f t="shared" si="7"/>
        <v>454.54545454545456</v>
      </c>
      <c r="M48" s="119">
        <f t="shared" si="8"/>
        <v>113.63636363636364</v>
      </c>
    </row>
    <row r="49" spans="3:13" s="3" customFormat="1" x14ac:dyDescent="0.35">
      <c r="C49" s="6" t="s">
        <v>67</v>
      </c>
      <c r="D49" s="7" t="s">
        <v>76</v>
      </c>
      <c r="E49" s="71">
        <v>12000</v>
      </c>
      <c r="F49" s="71">
        <f t="shared" si="1"/>
        <v>9545.454545454546</v>
      </c>
      <c r="G49" s="71">
        <f t="shared" si="2"/>
        <v>7636.3636363636369</v>
      </c>
      <c r="H49" s="71">
        <f t="shared" si="3"/>
        <v>6000</v>
      </c>
      <c r="I49" s="71">
        <f t="shared" si="4"/>
        <v>5727.2727272727279</v>
      </c>
      <c r="J49" s="71">
        <f t="shared" si="5"/>
        <v>3818.1818181818185</v>
      </c>
      <c r="K49" s="71">
        <f t="shared" si="6"/>
        <v>1909.0909090909092</v>
      </c>
      <c r="L49" s="71">
        <f t="shared" si="7"/>
        <v>545.4545454545455</v>
      </c>
      <c r="M49" s="119">
        <f t="shared" si="8"/>
        <v>136.36363636363637</v>
      </c>
    </row>
    <row r="50" spans="3:13" s="3" customFormat="1" ht="15" thickBot="1" x14ac:dyDescent="0.4">
      <c r="C50" s="5" t="s">
        <v>68</v>
      </c>
      <c r="D50" s="73" t="s">
        <v>77</v>
      </c>
      <c r="E50" s="72">
        <v>16000</v>
      </c>
      <c r="F50" s="72">
        <f t="shared" si="1"/>
        <v>12727.272727272726</v>
      </c>
      <c r="G50" s="72">
        <f t="shared" si="2"/>
        <v>10181.818181818182</v>
      </c>
      <c r="H50" s="72">
        <f t="shared" si="3"/>
        <v>8000</v>
      </c>
      <c r="I50" s="72">
        <f t="shared" si="4"/>
        <v>7636.363636363636</v>
      </c>
      <c r="J50" s="72">
        <f t="shared" si="5"/>
        <v>5090.909090909091</v>
      </c>
      <c r="K50" s="72">
        <f t="shared" si="6"/>
        <v>2545.4545454545455</v>
      </c>
      <c r="L50" s="72">
        <f t="shared" si="7"/>
        <v>727.27272727272725</v>
      </c>
      <c r="M50" s="120">
        <f t="shared" si="8"/>
        <v>181.81818181818181</v>
      </c>
    </row>
    <row r="51" spans="3:13" s="3" customFormat="1" x14ac:dyDescent="0.35">
      <c r="E51" s="4"/>
      <c r="F51" s="4"/>
      <c r="G51" s="4"/>
      <c r="H51" s="4"/>
      <c r="I51" s="4"/>
      <c r="J51" s="4"/>
      <c r="K51" s="4"/>
      <c r="L51" s="4"/>
    </row>
    <row r="52" spans="3:13" s="3" customFormat="1" x14ac:dyDescent="0.35">
      <c r="E52" s="4"/>
      <c r="F52" s="4"/>
      <c r="G52" s="4"/>
      <c r="H52" s="4"/>
      <c r="I52" s="4"/>
      <c r="J52" s="4"/>
      <c r="K52" s="4"/>
      <c r="L52" s="4"/>
    </row>
    <row r="53" spans="3:13" s="3" customFormat="1" x14ac:dyDescent="0.35">
      <c r="E53" s="4"/>
      <c r="F53" s="4"/>
      <c r="G53" s="4"/>
      <c r="H53" s="4"/>
      <c r="I53" s="4"/>
      <c r="J53" s="4"/>
      <c r="K53" s="4"/>
      <c r="L53" s="4"/>
    </row>
    <row r="54" spans="3:13" s="3" customFormat="1" x14ac:dyDescent="0.35">
      <c r="E54" s="4"/>
      <c r="F54" s="4"/>
      <c r="G54" s="4"/>
      <c r="H54" s="4"/>
      <c r="I54" s="4"/>
      <c r="J54" s="4"/>
      <c r="K54" s="4"/>
      <c r="L54" s="4"/>
    </row>
  </sheetData>
  <mergeCells count="11">
    <mergeCell ref="C40:C41"/>
    <mergeCell ref="D40:L40"/>
    <mergeCell ref="M40:M41"/>
    <mergeCell ref="P5:Q5"/>
    <mergeCell ref="C6:L6"/>
    <mergeCell ref="N6:N7"/>
    <mergeCell ref="P6:P7"/>
    <mergeCell ref="Q6:Q7"/>
    <mergeCell ref="C26:C27"/>
    <mergeCell ref="D26:L26"/>
    <mergeCell ref="M26:M2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Q56"/>
  <sheetViews>
    <sheetView showGridLines="0" topLeftCell="E1" workbookViewId="0">
      <selection activeCell="P18" sqref="P18"/>
    </sheetView>
  </sheetViews>
  <sheetFormatPr defaultColWidth="9.453125" defaultRowHeight="14.5" x14ac:dyDescent="0.35"/>
  <cols>
    <col min="1" max="2" width="9.453125" style="1"/>
    <col min="3" max="3" width="41.54296875" style="1" bestFit="1" customWidth="1"/>
    <col min="4" max="4" width="42.6328125" style="1" customWidth="1"/>
    <col min="5" max="5" width="17.90625" style="2" bestFit="1" customWidth="1"/>
    <col min="6" max="6" width="13.453125" style="2" bestFit="1" customWidth="1"/>
    <col min="7" max="7" width="14.36328125" style="2" bestFit="1" customWidth="1"/>
    <col min="8" max="8" width="13.453125" style="2" bestFit="1" customWidth="1"/>
    <col min="9" max="9" width="16.81640625" style="2" bestFit="1" customWidth="1"/>
    <col min="10" max="11" width="14.36328125" style="2" bestFit="1" customWidth="1"/>
    <col min="12" max="12" width="12.36328125" style="2" bestFit="1" customWidth="1"/>
    <col min="13" max="13" width="12.36328125" style="1" bestFit="1" customWidth="1"/>
    <col min="14" max="14" width="20.54296875" style="1" customWidth="1"/>
    <col min="15" max="15" width="0.36328125" style="1" customWidth="1"/>
    <col min="16" max="16" width="21" style="1" customWidth="1"/>
    <col min="17" max="17" width="21" style="1" bestFit="1" customWidth="1"/>
    <col min="18" max="16384" width="9.453125" style="1"/>
  </cols>
  <sheetData>
    <row r="5" spans="3:17" ht="18.5" x14ac:dyDescent="0.35">
      <c r="C5" s="80" t="s">
        <v>79</v>
      </c>
      <c r="D5" s="80"/>
      <c r="E5" s="121">
        <v>39200</v>
      </c>
      <c r="F5" s="81"/>
      <c r="G5" s="81"/>
      <c r="N5" s="3"/>
      <c r="O5" s="3"/>
    </row>
    <row r="6" spans="3:17" ht="18.5" x14ac:dyDescent="0.35">
      <c r="C6" s="80" t="s">
        <v>80</v>
      </c>
      <c r="D6" s="80"/>
      <c r="E6" s="82">
        <v>35462.22</v>
      </c>
      <c r="F6" s="81"/>
      <c r="G6" s="81"/>
      <c r="N6" s="3"/>
      <c r="O6" s="3"/>
    </row>
    <row r="7" spans="3:17" ht="19" thickBot="1" x14ac:dyDescent="0.4">
      <c r="C7" s="80" t="s">
        <v>81</v>
      </c>
      <c r="D7" s="80"/>
      <c r="E7" s="82">
        <f>E5-E6</f>
        <v>3737.7799999999988</v>
      </c>
      <c r="F7" s="81"/>
      <c r="G7" s="81"/>
      <c r="N7" s="3"/>
      <c r="O7" s="3"/>
    </row>
    <row r="8" spans="3:17" ht="30.75" customHeight="1" thickBot="1" x14ac:dyDescent="0.4">
      <c r="C8" s="225" t="s">
        <v>66</v>
      </c>
      <c r="D8" s="226"/>
      <c r="E8" s="226"/>
      <c r="F8" s="226"/>
      <c r="G8" s="226"/>
      <c r="H8" s="226"/>
      <c r="I8" s="226"/>
      <c r="J8" s="226"/>
      <c r="K8" s="226"/>
      <c r="L8" s="226"/>
      <c r="M8" s="77" t="s">
        <v>7</v>
      </c>
      <c r="N8" s="213"/>
      <c r="O8" s="3"/>
      <c r="P8" s="221" t="s">
        <v>65</v>
      </c>
      <c r="Q8" s="214" t="s">
        <v>64</v>
      </c>
    </row>
    <row r="9" spans="3:17" ht="15" thickBot="1" x14ac:dyDescent="0.4">
      <c r="C9" s="74" t="s">
        <v>9</v>
      </c>
      <c r="D9" s="74" t="s">
        <v>63</v>
      </c>
      <c r="E9" s="75" t="s">
        <v>62</v>
      </c>
      <c r="F9" s="75" t="s">
        <v>61</v>
      </c>
      <c r="G9" s="75" t="s">
        <v>60</v>
      </c>
      <c r="H9" s="75" t="s">
        <v>59</v>
      </c>
      <c r="I9" s="75" t="s">
        <v>58</v>
      </c>
      <c r="J9" s="75" t="s">
        <v>57</v>
      </c>
      <c r="K9" s="75" t="s">
        <v>56</v>
      </c>
      <c r="L9" s="76" t="s">
        <v>55</v>
      </c>
      <c r="M9" s="78" t="s">
        <v>54</v>
      </c>
      <c r="N9" s="213"/>
      <c r="O9" s="3"/>
      <c r="P9" s="222"/>
      <c r="Q9" s="215"/>
    </row>
    <row r="10" spans="3:17" ht="15" thickBot="1" x14ac:dyDescent="0.4">
      <c r="C10" s="69" t="s">
        <v>53</v>
      </c>
      <c r="D10" s="69" t="s">
        <v>52</v>
      </c>
      <c r="E10" s="83">
        <f>8009.80937955648+$E$7</f>
        <v>11747.589379556479</v>
      </c>
      <c r="F10" s="83">
        <f>Tabela86[[#This Row],[Colunas1]]*Tabela86[[#Headers],[70]]</f>
        <v>9344.6733701017456</v>
      </c>
      <c r="G10" s="83">
        <f>Tabela86[[#This Row],[Colunas1]]*Tabela86[[#Headers],[56]]</f>
        <v>7475.7386960813956</v>
      </c>
      <c r="H10" s="68">
        <f>Tabela86[[#This Row],[Colunas1]]*Tabela86[[#Headers],[44]]</f>
        <v>5873.7946897782394</v>
      </c>
      <c r="I10" s="68">
        <f>Tabela86[[#This Row],[Colunas1]]*Tabela86[[#Headers],[42]]</f>
        <v>5606.8040220610465</v>
      </c>
      <c r="J10" s="68">
        <f>Tabela86[[#This Row],[Colunas1]]*Tabela86[[#Headers],[28]]</f>
        <v>3737.8693480406978</v>
      </c>
      <c r="K10" s="68">
        <f>Tabela86[[#This Row],[Colunas1]]*Tabela86[[#Headers],[14]]</f>
        <v>1868.9346740203489</v>
      </c>
      <c r="L10" s="67">
        <f>Tabela86[[#This Row],[Colunas1]]*Tabela86[[#Headers],[4]]</f>
        <v>533.98133543438541</v>
      </c>
      <c r="M10" s="66">
        <f>Tabela86[[#This Row],[88]]/Tabela86[[#Headers],[88]]</f>
        <v>133.49533385859635</v>
      </c>
      <c r="N10" s="61"/>
      <c r="O10" s="3"/>
      <c r="P10" s="65">
        <v>5000</v>
      </c>
      <c r="Q10" s="64">
        <v>88</v>
      </c>
    </row>
    <row r="11" spans="3:17" x14ac:dyDescent="0.35">
      <c r="C11" s="9" t="s">
        <v>51</v>
      </c>
      <c r="D11" s="51" t="s">
        <v>50</v>
      </c>
      <c r="E11" s="84">
        <f>9985.73907686152+E7</f>
        <v>13723.519076861519</v>
      </c>
      <c r="F11" s="84">
        <f>Tabela86[[#This Row],[Colunas1]]*Tabela86[[#Headers],[70]]</f>
        <v>10916.435629321662</v>
      </c>
      <c r="G11" s="84">
        <f>Tabela86[[#This Row],[Colunas1]]*Tabela86[[#Headers],[56]]</f>
        <v>8733.1485034573307</v>
      </c>
      <c r="H11" s="50">
        <f>Tabela86[[#This Row],[Colunas1]]*Tabela86[[#Headers],[44]]</f>
        <v>6861.7595384307597</v>
      </c>
      <c r="I11" s="50">
        <f>Tabela86[[#This Row],[Colunas1]]*Tabela86[[#Headers],[42]]</f>
        <v>6549.861377592998</v>
      </c>
      <c r="J11" s="50">
        <f>Tabela86[[#This Row],[Colunas1]]*Tabela86[[#Headers],[28]]</f>
        <v>4366.5742517286653</v>
      </c>
      <c r="K11" s="50">
        <f>Tabela86[[#This Row],[Colunas1]]*Tabela86[[#Headers],[14]]</f>
        <v>2183.2871258643327</v>
      </c>
      <c r="L11" s="49">
        <f>Tabela86[[#This Row],[Colunas1]]*Tabela86[[#Headers],[4]]</f>
        <v>623.79632167552359</v>
      </c>
      <c r="M11" s="48">
        <f>Tabela86[[#This Row],[88]]/Tabela86[[#Headers],[88]]</f>
        <v>155.9490804188809</v>
      </c>
      <c r="N11" s="58"/>
      <c r="O11" s="3"/>
      <c r="P11" s="63">
        <v>3977.2727272727275</v>
      </c>
      <c r="Q11" s="62">
        <v>70</v>
      </c>
    </row>
    <row r="12" spans="3:17" x14ac:dyDescent="0.35">
      <c r="C12" s="6" t="s">
        <v>49</v>
      </c>
      <c r="D12" s="46" t="s">
        <v>48</v>
      </c>
      <c r="E12" s="85">
        <f>10285.3327852955+E7</f>
        <v>14023.1127852955</v>
      </c>
      <c r="F12" s="85">
        <f>Tabela86[[#This Row],[Colunas1]]*Tabela86[[#Headers],[70]]</f>
        <v>11154.748806485057</v>
      </c>
      <c r="G12" s="85">
        <f>Tabela86[[#This Row],[Colunas1]]*Tabela86[[#Headers],[56]]</f>
        <v>8923.7990451880451</v>
      </c>
      <c r="H12" s="45">
        <f>Tabela86[[#This Row],[Colunas1]]*Tabela86[[#Headers],[44]]</f>
        <v>7011.5563926477498</v>
      </c>
      <c r="I12" s="45">
        <f>Tabela86[[#This Row],[Colunas1]]*Tabela86[[#Headers],[42]]</f>
        <v>6692.8492838910342</v>
      </c>
      <c r="J12" s="45">
        <f>Tabela86[[#This Row],[Colunas1]]*Tabela86[[#Headers],[28]]</f>
        <v>4461.8995225940225</v>
      </c>
      <c r="K12" s="45">
        <f>Tabela86[[#This Row],[Colunas1]]*Tabela86[[#Headers],[14]]</f>
        <v>2230.9497612970113</v>
      </c>
      <c r="L12" s="44">
        <f>Tabela86[[#This Row],[Colunas1]]*Tabela86[[#Headers],[4]]</f>
        <v>637.41421751343182</v>
      </c>
      <c r="M12" s="43">
        <f>Tabela86[[#This Row],[88]]/Tabela86[[#Headers],[88]]</f>
        <v>159.35355437835796</v>
      </c>
      <c r="N12" s="61"/>
      <c r="O12" s="3"/>
      <c r="P12" s="60">
        <v>3181.818181818182</v>
      </c>
      <c r="Q12" s="59">
        <v>56</v>
      </c>
    </row>
    <row r="13" spans="3:17" x14ac:dyDescent="0.35">
      <c r="C13" s="6" t="s">
        <v>47</v>
      </c>
      <c r="D13" s="46" t="s">
        <v>46</v>
      </c>
      <c r="E13" s="85">
        <f>10593.8831077876+E7</f>
        <v>14331.663107787599</v>
      </c>
      <c r="F13" s="85">
        <f>Tabela86[[#This Row],[Colunas1]]*Tabela86[[#Headers],[70]]</f>
        <v>11400.186563012861</v>
      </c>
      <c r="G13" s="85">
        <f>Tabela86[[#This Row],[Colunas1]]*Tabela86[[#Headers],[56]]</f>
        <v>9120.1492504102898</v>
      </c>
      <c r="H13" s="45">
        <f>Tabela86[[#This Row],[Colunas1]]*Tabela86[[#Headers],[44]]</f>
        <v>7165.8315538937986</v>
      </c>
      <c r="I13" s="45">
        <f>Tabela86[[#This Row],[Colunas1]]*Tabela86[[#Headers],[42]]</f>
        <v>6840.1119378077174</v>
      </c>
      <c r="J13" s="45">
        <f>Tabela86[[#This Row],[Colunas1]]*Tabela86[[#Headers],[28]]</f>
        <v>4560.0746252051449</v>
      </c>
      <c r="K13" s="45">
        <f>Tabela86[[#This Row],[Colunas1]]*Tabela86[[#Headers],[14]]</f>
        <v>2280.0373126025725</v>
      </c>
      <c r="L13" s="44">
        <f>Tabela86[[#This Row],[Colunas1]]*Tabela86[[#Headers],[4]]</f>
        <v>651.43923217216354</v>
      </c>
      <c r="M13" s="43">
        <f>Tabela86[[#This Row],[88]]/Tabela86[[#Headers],[88]]</f>
        <v>162.85980804304089</v>
      </c>
      <c r="N13" s="58"/>
      <c r="O13" s="3"/>
      <c r="P13" s="63">
        <v>2500</v>
      </c>
      <c r="Q13" s="62">
        <v>44</v>
      </c>
    </row>
    <row r="14" spans="3:17" ht="15" thickBot="1" x14ac:dyDescent="0.4">
      <c r="C14" s="55" t="s">
        <v>45</v>
      </c>
      <c r="D14" s="54" t="s">
        <v>44</v>
      </c>
      <c r="E14" s="86">
        <f>10911.6919526766+E7</f>
        <v>14649.471952676598</v>
      </c>
      <c r="F14" s="86">
        <f>Tabela86[[#This Row],[Colunas1]]*Tabela86[[#Headers],[70]]</f>
        <v>11652.989053265477</v>
      </c>
      <c r="G14" s="86">
        <f>Tabela86[[#This Row],[Colunas1]]*Tabela86[[#Headers],[56]]</f>
        <v>9322.3912426123807</v>
      </c>
      <c r="H14" s="112">
        <f>Tabela86[[#This Row],[Colunas1]]*Tabela86[[#Headers],[44]]</f>
        <v>7324.7359763382992</v>
      </c>
      <c r="I14" s="112">
        <f>Tabela86[[#This Row],[Colunas1]]*Tabela86[[#Headers],[42]]</f>
        <v>6991.793431959286</v>
      </c>
      <c r="J14" s="112">
        <f>Tabela86[[#This Row],[Colunas1]]*Tabela86[[#Headers],[28]]</f>
        <v>4661.1956213061903</v>
      </c>
      <c r="K14" s="112">
        <f>Tabela86[[#This Row],[Colunas1]]*Tabela86[[#Headers],[14]]</f>
        <v>2330.5978106530952</v>
      </c>
      <c r="L14" s="53">
        <f>Tabela86[[#This Row],[Colunas1]]*Tabela86[[#Headers],[4]]</f>
        <v>665.88508875802722</v>
      </c>
      <c r="M14" s="52">
        <f>Tabela86[[#This Row],[88]]/Tabela86[[#Headers],[88]]</f>
        <v>166.47127218950681</v>
      </c>
      <c r="N14" s="61"/>
      <c r="O14" s="3"/>
      <c r="P14" s="60">
        <v>2386.3636363636365</v>
      </c>
      <c r="Q14" s="59">
        <v>42</v>
      </c>
    </row>
    <row r="15" spans="3:17" x14ac:dyDescent="0.35">
      <c r="C15" s="9" t="s">
        <v>43</v>
      </c>
      <c r="D15" s="51" t="s">
        <v>42</v>
      </c>
      <c r="E15" s="84">
        <f>12729.4418075508+E7</f>
        <v>16467.221807550799</v>
      </c>
      <c r="F15" s="84">
        <f>Tabela86[[#This Row],[Colunas1]]*Tabela86[[#Headers],[70]]</f>
        <v>13098.926437824499</v>
      </c>
      <c r="G15" s="84">
        <f>Tabela86[[#This Row],[Colunas1]]*Tabela86[[#Headers],[56]]</f>
        <v>10479.1411502596</v>
      </c>
      <c r="H15" s="50">
        <f>Tabela86[[#This Row],[Colunas1]]*Tabela86[[#Headers],[44]]</f>
        <v>8233.6109037753995</v>
      </c>
      <c r="I15" s="50">
        <f>Tabela86[[#This Row],[Colunas1]]*Tabela86[[#Headers],[42]]</f>
        <v>7859.3558626946997</v>
      </c>
      <c r="J15" s="50">
        <f>Tabela86[[#This Row],[Colunas1]]*Tabela86[[#Headers],[28]]</f>
        <v>5239.5705751298001</v>
      </c>
      <c r="K15" s="50">
        <f>Tabela86[[#This Row],[Colunas1]]*Tabela86[[#Headers],[14]]</f>
        <v>2619.7852875649</v>
      </c>
      <c r="L15" s="49">
        <f>Tabela86[[#This Row],[Colunas1]]*Tabela86[[#Headers],[4]]</f>
        <v>748.51008216139996</v>
      </c>
      <c r="M15" s="48">
        <f>Tabela86[[#This Row],[88]]/Tabela86[[#Headers],[88]]</f>
        <v>187.12752054034999</v>
      </c>
      <c r="N15" s="58"/>
      <c r="O15" s="3"/>
      <c r="P15" s="63">
        <v>1590.909090909091</v>
      </c>
      <c r="Q15" s="62">
        <v>28</v>
      </c>
    </row>
    <row r="16" spans="3:17" x14ac:dyDescent="0.35">
      <c r="C16" s="6" t="s">
        <v>41</v>
      </c>
      <c r="D16" s="46" t="s">
        <v>40</v>
      </c>
      <c r="E16" s="85">
        <f>13111.3357292053+E7</f>
        <v>16849.115729205299</v>
      </c>
      <c r="F16" s="85">
        <f>Tabela86[[#This Row],[Colunas1]]*Tabela86[[#Headers],[70]]</f>
        <v>13402.705693686034</v>
      </c>
      <c r="G16" s="85">
        <f>Tabela86[[#This Row],[Colunas1]]*Tabela86[[#Headers],[56]]</f>
        <v>10722.164554948828</v>
      </c>
      <c r="H16" s="45">
        <f>Tabela86[[#This Row],[Colunas1]]*Tabela86[[#Headers],[44]]</f>
        <v>8424.5578646026497</v>
      </c>
      <c r="I16" s="45">
        <f>Tabela86[[#This Row],[Colunas1]]*Tabela86[[#Headers],[42]]</f>
        <v>8041.6234162116207</v>
      </c>
      <c r="J16" s="45">
        <f>Tabela86[[#This Row],[Colunas1]]*Tabela86[[#Headers],[28]]</f>
        <v>5361.0822774744138</v>
      </c>
      <c r="K16" s="45">
        <f>Tabela86[[#This Row],[Colunas1]]*Tabela86[[#Headers],[14]]</f>
        <v>2680.5411387372069</v>
      </c>
      <c r="L16" s="44">
        <f>Tabela86[[#This Row],[Colunas1]]*Tabela86[[#Headers],[4]]</f>
        <v>765.8688967820591</v>
      </c>
      <c r="M16" s="43">
        <f>Tabela86[[#This Row],[88]]/Tabela86[[#Headers],[88]]</f>
        <v>191.46722419551477</v>
      </c>
      <c r="N16" s="61"/>
      <c r="O16" s="3"/>
      <c r="P16" s="60">
        <v>795.4545454545455</v>
      </c>
      <c r="Q16" s="59">
        <v>14</v>
      </c>
    </row>
    <row r="17" spans="3:17" ht="15" thickBot="1" x14ac:dyDescent="0.4">
      <c r="C17" s="6" t="s">
        <v>39</v>
      </c>
      <c r="D17" s="46" t="s">
        <v>38</v>
      </c>
      <c r="E17" s="85">
        <f>13504.6518496866+E7</f>
        <v>17242.431849686596</v>
      </c>
      <c r="F17" s="85">
        <f>Tabela86[[#This Row],[Colunas1]]*Tabela86[[#Headers],[70]]</f>
        <v>13715.57078952343</v>
      </c>
      <c r="G17" s="85">
        <f>Tabela86[[#This Row],[Colunas1]]*Tabela86[[#Headers],[56]]</f>
        <v>10972.456631618743</v>
      </c>
      <c r="H17" s="45">
        <f>Tabela86[[#This Row],[Colunas1]]*Tabela86[[#Headers],[44]]</f>
        <v>8621.2159248432981</v>
      </c>
      <c r="I17" s="45">
        <f>Tabela86[[#This Row],[Colunas1]]*Tabela86[[#Headers],[42]]</f>
        <v>8229.3424737140576</v>
      </c>
      <c r="J17" s="45">
        <f>Tabela86[[#This Row],[Colunas1]]*Tabela86[[#Headers],[28]]</f>
        <v>5486.2283158093715</v>
      </c>
      <c r="K17" s="45">
        <f>Tabela86[[#This Row],[Colunas1]]*Tabela86[[#Headers],[14]]</f>
        <v>2743.1141579046857</v>
      </c>
      <c r="L17" s="44">
        <f>Tabela86[[#This Row],[Colunas1]]*Tabela86[[#Headers],[4]]</f>
        <v>783.74690225848167</v>
      </c>
      <c r="M17" s="43">
        <f>Tabela86[[#This Row],[88]]/Tabela86[[#Headers],[88]]</f>
        <v>195.93672556462042</v>
      </c>
      <c r="N17" s="58"/>
      <c r="O17" s="3"/>
      <c r="P17" s="57">
        <v>227.27272727272728</v>
      </c>
      <c r="Q17" s="56">
        <v>4</v>
      </c>
    </row>
    <row r="18" spans="3:17" ht="15" thickBot="1" x14ac:dyDescent="0.4">
      <c r="C18" s="55" t="s">
        <v>37</v>
      </c>
      <c r="D18" s="54" t="s">
        <v>36</v>
      </c>
      <c r="E18" s="86">
        <f>13909.7927134466+E7</f>
        <v>17647.5727134466</v>
      </c>
      <c r="F18" s="86">
        <f>Tabela86[[#This Row],[Colunas1]]*Tabela86[[#Headers],[70]]</f>
        <v>14037.841931150704</v>
      </c>
      <c r="G18" s="86">
        <f>Tabela86[[#This Row],[Colunas1]]*Tabela86[[#Headers],[56]]</f>
        <v>11230.273544920563</v>
      </c>
      <c r="H18" s="112">
        <f>Tabela86[[#This Row],[Colunas1]]*Tabela86[[#Headers],[44]]</f>
        <v>8823.7863567232998</v>
      </c>
      <c r="I18" s="112">
        <f>Tabela86[[#This Row],[Colunas1]]*Tabela86[[#Headers],[42]]</f>
        <v>8422.7051586904217</v>
      </c>
      <c r="J18" s="112">
        <f>Tabela86[[#This Row],[Colunas1]]*Tabela86[[#Headers],[28]]</f>
        <v>5615.1367724602815</v>
      </c>
      <c r="K18" s="112">
        <f>Tabela86[[#This Row],[Colunas1]]*Tabela86[[#Headers],[14]]</f>
        <v>2807.5683862301407</v>
      </c>
      <c r="L18" s="53">
        <f>Tabela86[[#This Row],[Colunas1]]*Tabela86[[#Headers],[4]]</f>
        <v>802.16239606575448</v>
      </c>
      <c r="M18" s="52">
        <f>Tabela86[[#This Row],[88]]/Tabela86[[#Headers],[88]]</f>
        <v>200.54059901643862</v>
      </c>
      <c r="N18" s="3"/>
      <c r="O18" s="3"/>
    </row>
    <row r="19" spans="3:17" x14ac:dyDescent="0.35">
      <c r="C19" s="9" t="s">
        <v>35</v>
      </c>
      <c r="D19" s="51" t="s">
        <v>34</v>
      </c>
      <c r="E19" s="84">
        <f>16500.7700790303+E7</f>
        <v>20238.550079030298</v>
      </c>
      <c r="F19" s="84">
        <f>Tabela86[[#This Row],[Colunas1]]*Tabela86[[#Headers],[70]]</f>
        <v>16098.846653774101</v>
      </c>
      <c r="G19" s="84">
        <f>Tabela86[[#This Row],[Colunas1]]*Tabela86[[#Headers],[56]]</f>
        <v>12879.077323019281</v>
      </c>
      <c r="H19" s="50">
        <f>Tabela86[[#This Row],[Colunas1]]*Tabela86[[#Headers],[44]]</f>
        <v>10119.275039515149</v>
      </c>
      <c r="I19" s="50">
        <f>Tabela86[[#This Row],[Colunas1]]*Tabela86[[#Headers],[42]]</f>
        <v>9659.3079922644611</v>
      </c>
      <c r="J19" s="50">
        <f>Tabela86[[#This Row],[Colunas1]]*Tabela86[[#Headers],[28]]</f>
        <v>6439.5386615096404</v>
      </c>
      <c r="K19" s="50">
        <f>Tabela86[[#This Row],[Colunas1]]*Tabela86[[#Headers],[14]]</f>
        <v>3219.7693307548202</v>
      </c>
      <c r="L19" s="49">
        <f>Tabela86[[#This Row],[Colunas1]]*Tabela86[[#Headers],[4]]</f>
        <v>919.93409450137722</v>
      </c>
      <c r="M19" s="48">
        <f>Tabela86[[#This Row],[88]]/Tabela86[[#Headers],[88]]</f>
        <v>229.9835236253443</v>
      </c>
      <c r="N19" s="3"/>
      <c r="O19" s="3"/>
    </row>
    <row r="20" spans="3:17" x14ac:dyDescent="0.35">
      <c r="C20" s="6" t="s">
        <v>33</v>
      </c>
      <c r="D20" s="46" t="s">
        <v>32</v>
      </c>
      <c r="E20" s="85">
        <f>16995.8091825432+E7</f>
        <v>20733.589182543197</v>
      </c>
      <c r="F20" s="85">
        <f>Tabela86[[#This Row],[Colunas1]]*Tabela86[[#Headers],[70]]</f>
        <v>16492.627758841179</v>
      </c>
      <c r="G20" s="85">
        <f>Tabela86[[#This Row],[Colunas1]]*Tabela86[[#Headers],[56]]</f>
        <v>13194.102207072943</v>
      </c>
      <c r="H20" s="45">
        <f>Tabela86[[#This Row],[Colunas1]]*Tabela86[[#Headers],[44]]</f>
        <v>10366.794591271599</v>
      </c>
      <c r="I20" s="45">
        <f>Tabela86[[#This Row],[Colunas1]]*Tabela86[[#Headers],[42]]</f>
        <v>9895.5766553047069</v>
      </c>
      <c r="J20" s="45">
        <f>Tabela86[[#This Row],[Colunas1]]*Tabela86[[#Headers],[28]]</f>
        <v>6597.0511035364716</v>
      </c>
      <c r="K20" s="45">
        <f>Tabela86[[#This Row],[Colunas1]]*Tabela86[[#Headers],[14]]</f>
        <v>3298.5255517682358</v>
      </c>
      <c r="L20" s="44">
        <f>Tabela86[[#This Row],[Colunas1]]*Tabela86[[#Headers],[4]]</f>
        <v>942.43587193378164</v>
      </c>
      <c r="M20" s="43">
        <f>Tabela86[[#This Row],[88]]/Tabela86[[#Headers],[88]]</f>
        <v>235.60896798344541</v>
      </c>
      <c r="N20" s="3"/>
      <c r="O20" s="3"/>
    </row>
    <row r="21" spans="3:17" x14ac:dyDescent="0.35">
      <c r="C21" s="6" t="s">
        <v>31</v>
      </c>
      <c r="D21" s="46" t="s">
        <v>30</v>
      </c>
      <c r="E21" s="85">
        <f>17505.6719855026+E7</f>
        <v>21243.451985502597</v>
      </c>
      <c r="F21" s="85">
        <f>Tabela86[[#This Row],[Colunas1]]*Tabela86[[#Headers],[70]]</f>
        <v>16898.200443013429</v>
      </c>
      <c r="G21" s="85">
        <f>Tabela86[[#This Row],[Colunas1]]*Tabela86[[#Headers],[56]]</f>
        <v>13518.560354410743</v>
      </c>
      <c r="H21" s="45">
        <f>Tabela86[[#This Row],[Colunas1]]*Tabela86[[#Headers],[44]]</f>
        <v>10621.725992751299</v>
      </c>
      <c r="I21" s="45">
        <f>Tabela86[[#This Row],[Colunas1]]*Tabela86[[#Headers],[42]]</f>
        <v>10138.920265808058</v>
      </c>
      <c r="J21" s="45">
        <f>Tabela86[[#This Row],[Colunas1]]*Tabela86[[#Headers],[28]]</f>
        <v>6759.2801772053717</v>
      </c>
      <c r="K21" s="45">
        <f>Tabela86[[#This Row],[Colunas1]]*Tabela86[[#Headers],[14]]</f>
        <v>3379.6400886026859</v>
      </c>
      <c r="L21" s="44">
        <f>Tabela86[[#This Row],[Colunas1]]*Tabela86[[#Headers],[4]]</f>
        <v>965.61145388648174</v>
      </c>
      <c r="M21" s="43">
        <f>Tabela86[[#This Row],[88]]/Tabela86[[#Headers],[88]]</f>
        <v>241.40286347162044</v>
      </c>
      <c r="N21" s="87"/>
      <c r="O21" s="3"/>
    </row>
    <row r="22" spans="3:17" ht="15" thickBot="1" x14ac:dyDescent="0.4">
      <c r="C22" s="55" t="s">
        <v>29</v>
      </c>
      <c r="D22" s="54" t="s">
        <v>28</v>
      </c>
      <c r="E22" s="85">
        <v>0</v>
      </c>
      <c r="F22" s="86">
        <f>14342.71+E7</f>
        <v>18080.489999999998</v>
      </c>
      <c r="G22" s="86">
        <f>Tabela86[[#This Row],[Colunas1]]*Tabela86[[#Headers],[56]]</f>
        <v>13776</v>
      </c>
      <c r="H22" s="112">
        <f>Tabela86[[#This Row],[Colunas1]]*Tabela86[[#Headers],[44]]</f>
        <v>10824</v>
      </c>
      <c r="I22" s="112">
        <f>Tabela86[[#This Row],[Colunas1]]*Tabela86[[#Headers],[42]]</f>
        <v>10332</v>
      </c>
      <c r="J22" s="112">
        <f>Tabela86[[#This Row],[Colunas1]]*Tabela86[[#Headers],[28]]</f>
        <v>6888</v>
      </c>
      <c r="K22" s="112">
        <f>Tabela86[[#This Row],[Colunas1]]*Tabela86[[#Headers],[14]]</f>
        <v>3444</v>
      </c>
      <c r="L22" s="53">
        <f>Tabela86[[#This Row],[Colunas1]]*Tabela86[[#Headers],[4]]</f>
        <v>984</v>
      </c>
      <c r="M22" s="52">
        <v>246</v>
      </c>
      <c r="N22" s="122"/>
    </row>
    <row r="23" spans="3:17" x14ac:dyDescent="0.35">
      <c r="C23" s="9" t="s">
        <v>27</v>
      </c>
      <c r="D23" s="51" t="s">
        <v>26</v>
      </c>
      <c r="E23" s="50">
        <v>0</v>
      </c>
      <c r="F23" s="50">
        <v>0</v>
      </c>
      <c r="G23" s="50">
        <v>0</v>
      </c>
      <c r="H23" s="50">
        <f>Tabela86[[#This Row],[Colunas1]]*Tabela86[[#Headers],[44]]</f>
        <v>12320</v>
      </c>
      <c r="I23" s="84">
        <f>Tabela86[[#This Row],[Colunas1]]*Tabela86[[#Headers],[42]]</f>
        <v>11760</v>
      </c>
      <c r="J23" s="50">
        <f>Tabela86[[#This Row],[Colunas1]]*Tabela86[[#Headers],[28]]</f>
        <v>7840</v>
      </c>
      <c r="K23" s="50">
        <f>Tabela86[[#This Row],[Colunas1]]*Tabela86[[#Headers],[14]]</f>
        <v>3920</v>
      </c>
      <c r="L23" s="49">
        <f>Tabela86[[#This Row],[Colunas1]]*Tabela86[[#Headers],[4]]</f>
        <v>1120</v>
      </c>
      <c r="M23" s="48">
        <v>280</v>
      </c>
    </row>
    <row r="24" spans="3:17" x14ac:dyDescent="0.35">
      <c r="C24" s="47"/>
      <c r="D24" s="46" t="s">
        <v>25</v>
      </c>
      <c r="E24" s="45">
        <v>0</v>
      </c>
      <c r="F24" s="45">
        <v>0</v>
      </c>
      <c r="G24" s="45">
        <v>0</v>
      </c>
      <c r="H24" s="45"/>
      <c r="I24" s="45">
        <v>0</v>
      </c>
      <c r="J24" s="45">
        <f>Tabela86[[#This Row],[Colunas1]]*Tabela86[[#Headers],[28]]</f>
        <v>8120</v>
      </c>
      <c r="K24" s="45">
        <f>Tabela86[[#This Row],[Colunas1]]*Tabela86[[#Headers],[14]]</f>
        <v>4060</v>
      </c>
      <c r="L24" s="44">
        <f>Tabela86[[#This Row],[Colunas1]]*Tabela86[[#Headers],[4]]</f>
        <v>1160</v>
      </c>
      <c r="M24" s="43">
        <v>290</v>
      </c>
    </row>
    <row r="25" spans="3:17" x14ac:dyDescent="0.35">
      <c r="C25" s="47"/>
      <c r="D25" s="46" t="s">
        <v>24</v>
      </c>
      <c r="E25" s="45">
        <v>0</v>
      </c>
      <c r="F25" s="45">
        <v>0</v>
      </c>
      <c r="G25" s="45">
        <v>0</v>
      </c>
      <c r="H25" s="45"/>
      <c r="I25" s="45">
        <v>0</v>
      </c>
      <c r="J25" s="45">
        <f>Tabela86[[#This Row],[Colunas1]]*Tabela86[[#Headers],[28]]</f>
        <v>8680</v>
      </c>
      <c r="K25" s="45">
        <f>Tabela86[[#This Row],[Colunas1]]*Tabela86[[#Headers],[14]]</f>
        <v>4340</v>
      </c>
      <c r="L25" s="44">
        <f>Tabela86[[#This Row],[Colunas1]]*Tabela86[[#Headers],[4]]</f>
        <v>1240</v>
      </c>
      <c r="M25" s="43">
        <v>310</v>
      </c>
    </row>
    <row r="26" spans="3:17" ht="15" thickBot="1" x14ac:dyDescent="0.4">
      <c r="C26" s="42"/>
      <c r="D26" s="41" t="s">
        <v>23</v>
      </c>
      <c r="E26" s="40">
        <v>0</v>
      </c>
      <c r="F26" s="40">
        <v>0</v>
      </c>
      <c r="G26" s="40">
        <v>0</v>
      </c>
      <c r="H26" s="40"/>
      <c r="I26" s="40">
        <v>0</v>
      </c>
      <c r="J26" s="40">
        <f>Tabela86[[#This Row],[Colunas1]]*Tabela86[[#Headers],[28]]</f>
        <v>8960</v>
      </c>
      <c r="K26" s="40">
        <f>Tabela86[[#This Row],[Colunas1]]*Tabela86[[#Headers],[14]]</f>
        <v>4480</v>
      </c>
      <c r="L26" s="39">
        <f>Tabela86[[#This Row],[Colunas1]]*Tabela86[[#Headers],[4]]</f>
        <v>1280</v>
      </c>
      <c r="M26" s="38">
        <v>320</v>
      </c>
    </row>
    <row r="27" spans="3:17" ht="15" thickBot="1" x14ac:dyDescent="0.4"/>
    <row r="28" spans="3:17" ht="15" thickBot="1" x14ac:dyDescent="0.4">
      <c r="C28" s="216" t="s">
        <v>6</v>
      </c>
      <c r="D28" s="218" t="s">
        <v>22</v>
      </c>
      <c r="E28" s="211"/>
      <c r="F28" s="211"/>
      <c r="G28" s="211"/>
      <c r="H28" s="211"/>
      <c r="I28" s="211"/>
      <c r="J28" s="211"/>
      <c r="K28" s="211"/>
      <c r="L28" s="212"/>
      <c r="M28" s="219" t="s">
        <v>7</v>
      </c>
    </row>
    <row r="29" spans="3:17" ht="15" thickBot="1" x14ac:dyDescent="0.4">
      <c r="C29" s="217"/>
      <c r="D29" s="12" t="s">
        <v>21</v>
      </c>
      <c r="E29" s="11">
        <v>88</v>
      </c>
      <c r="F29" s="11">
        <v>70</v>
      </c>
      <c r="G29" s="11">
        <v>56</v>
      </c>
      <c r="H29" s="11">
        <v>44</v>
      </c>
      <c r="I29" s="11">
        <v>42</v>
      </c>
      <c r="J29" s="11">
        <v>28</v>
      </c>
      <c r="K29" s="11">
        <v>14</v>
      </c>
      <c r="L29" s="10">
        <v>4</v>
      </c>
      <c r="M29" s="220"/>
    </row>
    <row r="30" spans="3:17" ht="15" thickBot="1" x14ac:dyDescent="0.4">
      <c r="C30" s="37" t="s">
        <v>20</v>
      </c>
      <c r="D30" s="36" t="s">
        <v>20</v>
      </c>
      <c r="E30" s="35">
        <v>9500</v>
      </c>
      <c r="F30" s="35">
        <v>7556.818181818182</v>
      </c>
      <c r="G30" s="35">
        <v>6045.454545454545</v>
      </c>
      <c r="H30" s="35">
        <v>4750</v>
      </c>
      <c r="I30" s="35">
        <v>4534.090909090909</v>
      </c>
      <c r="J30" s="34">
        <v>3022.7272727272725</v>
      </c>
      <c r="K30" s="34">
        <v>1511.3636363636363</v>
      </c>
      <c r="L30" s="34">
        <v>431.81818181818181</v>
      </c>
      <c r="M30" s="33">
        <v>107.95454545454545</v>
      </c>
    </row>
    <row r="31" spans="3:17" ht="15" thickBot="1" x14ac:dyDescent="0.4">
      <c r="C31" s="37" t="s">
        <v>19</v>
      </c>
      <c r="D31" s="36" t="s">
        <v>19</v>
      </c>
      <c r="E31" s="35">
        <v>8500</v>
      </c>
      <c r="F31" s="35">
        <v>6761.3636363636369</v>
      </c>
      <c r="G31" s="35">
        <v>5409.090909090909</v>
      </c>
      <c r="H31" s="35">
        <v>4250</v>
      </c>
      <c r="I31" s="35">
        <v>4056.818181818182</v>
      </c>
      <c r="J31" s="34">
        <v>2704.5454545454545</v>
      </c>
      <c r="K31" s="34">
        <v>1352.2727272727273</v>
      </c>
      <c r="L31" s="34">
        <v>386.36363636363637</v>
      </c>
      <c r="M31" s="33">
        <v>96.590909090909093</v>
      </c>
    </row>
    <row r="32" spans="3:17" x14ac:dyDescent="0.35">
      <c r="C32" s="27" t="s">
        <v>18</v>
      </c>
      <c r="D32" s="26" t="s">
        <v>18</v>
      </c>
      <c r="E32" s="25">
        <v>7500</v>
      </c>
      <c r="F32" s="25">
        <v>5965.909090909091</v>
      </c>
      <c r="G32" s="25">
        <v>4772.727272727273</v>
      </c>
      <c r="H32" s="25">
        <v>3750.0000000000005</v>
      </c>
      <c r="I32" s="25">
        <v>3579.545454545455</v>
      </c>
      <c r="J32" s="24">
        <v>2386.3636363636365</v>
      </c>
      <c r="K32" s="24">
        <v>1193.1818181818182</v>
      </c>
      <c r="L32" s="24">
        <v>340.90909090909093</v>
      </c>
      <c r="M32" s="23">
        <v>85.227272727272734</v>
      </c>
    </row>
    <row r="33" spans="3:13" x14ac:dyDescent="0.35">
      <c r="C33" s="22" t="s">
        <v>17</v>
      </c>
      <c r="D33" s="21" t="s">
        <v>17</v>
      </c>
      <c r="E33" s="20">
        <v>6500</v>
      </c>
      <c r="F33" s="20">
        <v>5170.454545454545</v>
      </c>
      <c r="G33" s="20">
        <v>4136.363636363636</v>
      </c>
      <c r="H33" s="20">
        <v>3250</v>
      </c>
      <c r="I33" s="20">
        <v>3102.272727272727</v>
      </c>
      <c r="J33" s="19">
        <v>2068.181818181818</v>
      </c>
      <c r="K33" s="19">
        <v>1034.090909090909</v>
      </c>
      <c r="L33" s="19">
        <v>295.45454545454544</v>
      </c>
      <c r="M33" s="18">
        <v>73.86363636363636</v>
      </c>
    </row>
    <row r="34" spans="3:13" x14ac:dyDescent="0.35">
      <c r="C34" s="22" t="s">
        <v>16</v>
      </c>
      <c r="D34" s="21" t="s">
        <v>16</v>
      </c>
      <c r="E34" s="20">
        <v>5500</v>
      </c>
      <c r="F34" s="20">
        <v>4375</v>
      </c>
      <c r="G34" s="20">
        <v>3500</v>
      </c>
      <c r="H34" s="20">
        <v>2750</v>
      </c>
      <c r="I34" s="20">
        <v>2625</v>
      </c>
      <c r="J34" s="19">
        <v>1750</v>
      </c>
      <c r="K34" s="19">
        <v>875</v>
      </c>
      <c r="L34" s="19">
        <v>250</v>
      </c>
      <c r="M34" s="18">
        <v>62.5</v>
      </c>
    </row>
    <row r="35" spans="3:13" ht="15" thickBot="1" x14ac:dyDescent="0.4">
      <c r="C35" s="32" t="s">
        <v>15</v>
      </c>
      <c r="D35" s="31" t="s">
        <v>15</v>
      </c>
      <c r="E35" s="30">
        <v>4500</v>
      </c>
      <c r="F35" s="30">
        <v>3579.5454545454545</v>
      </c>
      <c r="G35" s="30">
        <v>2863.6363636363635</v>
      </c>
      <c r="H35" s="30">
        <v>2250</v>
      </c>
      <c r="I35" s="30">
        <v>2147.7272727272725</v>
      </c>
      <c r="J35" s="29">
        <v>1431.8181818181818</v>
      </c>
      <c r="K35" s="29">
        <v>715.90909090909088</v>
      </c>
      <c r="L35" s="29">
        <v>204.54545454545453</v>
      </c>
      <c r="M35" s="28">
        <v>51.136363636363633</v>
      </c>
    </row>
    <row r="36" spans="3:13" x14ac:dyDescent="0.35">
      <c r="C36" s="27" t="s">
        <v>14</v>
      </c>
      <c r="D36" s="26" t="s">
        <v>14</v>
      </c>
      <c r="E36" s="25">
        <v>3500</v>
      </c>
      <c r="F36" s="25">
        <v>2784.090909090909</v>
      </c>
      <c r="G36" s="25">
        <v>2227.2727272727275</v>
      </c>
      <c r="H36" s="25">
        <v>1750</v>
      </c>
      <c r="I36" s="25">
        <v>1670.4545454545455</v>
      </c>
      <c r="J36" s="24">
        <v>1113.6363636363637</v>
      </c>
      <c r="K36" s="24">
        <v>556.81818181818187</v>
      </c>
      <c r="L36" s="24">
        <v>159.09090909090909</v>
      </c>
      <c r="M36" s="23">
        <v>39.772727272727273</v>
      </c>
    </row>
    <row r="37" spans="3:13" x14ac:dyDescent="0.35">
      <c r="C37" s="22" t="s">
        <v>13</v>
      </c>
      <c r="D37" s="21" t="s">
        <v>13</v>
      </c>
      <c r="E37" s="20">
        <v>2500</v>
      </c>
      <c r="F37" s="20">
        <v>1988.6363636363637</v>
      </c>
      <c r="G37" s="20">
        <v>1590.909090909091</v>
      </c>
      <c r="H37" s="20">
        <v>1250</v>
      </c>
      <c r="I37" s="20">
        <v>1193.1818181818182</v>
      </c>
      <c r="J37" s="19">
        <v>795.4545454545455</v>
      </c>
      <c r="K37" s="19">
        <v>397.72727272727275</v>
      </c>
      <c r="L37" s="19">
        <v>113.63636363636364</v>
      </c>
      <c r="M37" s="18">
        <v>28.40909090909091</v>
      </c>
    </row>
    <row r="38" spans="3:13" x14ac:dyDescent="0.35">
      <c r="C38" s="22" t="s">
        <v>12</v>
      </c>
      <c r="D38" s="21" t="s">
        <v>12</v>
      </c>
      <c r="E38" s="20">
        <v>1800</v>
      </c>
      <c r="F38" s="20">
        <v>1431.8181818181818</v>
      </c>
      <c r="G38" s="20">
        <v>1145.4545454545455</v>
      </c>
      <c r="H38" s="20">
        <v>900</v>
      </c>
      <c r="I38" s="20">
        <v>859.09090909090901</v>
      </c>
      <c r="J38" s="19">
        <v>572.72727272727275</v>
      </c>
      <c r="K38" s="19">
        <v>286.36363636363637</v>
      </c>
      <c r="L38" s="19">
        <v>81.818181818181813</v>
      </c>
      <c r="M38" s="18">
        <v>20.454545454545453</v>
      </c>
    </row>
    <row r="39" spans="3:13" x14ac:dyDescent="0.35">
      <c r="C39" s="22" t="s">
        <v>11</v>
      </c>
      <c r="D39" s="21" t="s">
        <v>11</v>
      </c>
      <c r="E39" s="20">
        <v>1500</v>
      </c>
      <c r="F39" s="20">
        <v>1193.1818181818182</v>
      </c>
      <c r="G39" s="20">
        <v>954.54545454545462</v>
      </c>
      <c r="H39" s="20">
        <v>750</v>
      </c>
      <c r="I39" s="20">
        <v>715.90909090909099</v>
      </c>
      <c r="J39" s="19">
        <v>477.27272727272731</v>
      </c>
      <c r="K39" s="19">
        <v>238.63636363636365</v>
      </c>
      <c r="L39" s="19">
        <v>68.181818181818187</v>
      </c>
      <c r="M39" s="18">
        <v>17.045454545454547</v>
      </c>
    </row>
    <row r="40" spans="3:13" ht="15" thickBot="1" x14ac:dyDescent="0.4">
      <c r="C40" s="17" t="s">
        <v>10</v>
      </c>
      <c r="D40" s="16" t="s">
        <v>10</v>
      </c>
      <c r="E40" s="15">
        <v>1200</v>
      </c>
      <c r="F40" s="15">
        <v>954.54545454545462</v>
      </c>
      <c r="G40" s="15">
        <v>763.63636363636363</v>
      </c>
      <c r="H40" s="15">
        <v>600</v>
      </c>
      <c r="I40" s="15">
        <v>572.72727272727275</v>
      </c>
      <c r="J40" s="14">
        <v>381.81818181818181</v>
      </c>
      <c r="K40" s="14">
        <v>190.90909090909091</v>
      </c>
      <c r="L40" s="14">
        <v>54.545454545454547</v>
      </c>
      <c r="M40" s="13">
        <v>13.636363636363637</v>
      </c>
    </row>
    <row r="41" spans="3:13" ht="15" thickBot="1" x14ac:dyDescent="0.4">
      <c r="L41" s="4"/>
    </row>
    <row r="42" spans="3:13" s="3" customFormat="1" ht="15" thickBot="1" x14ac:dyDescent="0.4">
      <c r="C42" s="216" t="s">
        <v>9</v>
      </c>
      <c r="D42" s="218" t="s">
        <v>8</v>
      </c>
      <c r="E42" s="211"/>
      <c r="F42" s="211"/>
      <c r="G42" s="211"/>
      <c r="H42" s="211"/>
      <c r="I42" s="211"/>
      <c r="J42" s="211"/>
      <c r="K42" s="211"/>
      <c r="L42" s="212"/>
      <c r="M42" s="219" t="s">
        <v>7</v>
      </c>
    </row>
    <row r="43" spans="3:13" s="3" customFormat="1" ht="15" thickBot="1" x14ac:dyDescent="0.4">
      <c r="C43" s="217"/>
      <c r="D43" s="12" t="s">
        <v>6</v>
      </c>
      <c r="E43" s="11">
        <v>88</v>
      </c>
      <c r="F43" s="11">
        <v>70</v>
      </c>
      <c r="G43" s="11">
        <v>56</v>
      </c>
      <c r="H43" s="11">
        <v>44</v>
      </c>
      <c r="I43" s="11">
        <v>42</v>
      </c>
      <c r="J43" s="11">
        <v>28</v>
      </c>
      <c r="K43" s="11">
        <v>14</v>
      </c>
      <c r="L43" s="10">
        <v>4</v>
      </c>
      <c r="M43" s="220"/>
    </row>
    <row r="44" spans="3:13" s="3" customFormat="1" x14ac:dyDescent="0.35">
      <c r="C44" s="9" t="s">
        <v>0</v>
      </c>
      <c r="D44" s="8" t="s">
        <v>70</v>
      </c>
      <c r="E44" s="70">
        <v>3070.45</v>
      </c>
      <c r="F44" s="70">
        <f>M44*$F$43</f>
        <v>2442.403409090909</v>
      </c>
      <c r="G44" s="70">
        <f>M44*$G$43</f>
        <v>1953.9227272727271</v>
      </c>
      <c r="H44" s="70">
        <f>M44*$H$43</f>
        <v>1535.2249999999999</v>
      </c>
      <c r="I44" s="70">
        <f>M44*$I$43</f>
        <v>1465.4420454545455</v>
      </c>
      <c r="J44" s="70">
        <f>M44*$J$43</f>
        <v>976.96136363636356</v>
      </c>
      <c r="K44" s="70">
        <f>M44*$K$43</f>
        <v>488.48068181818178</v>
      </c>
      <c r="L44" s="70">
        <f>M44*$L$43</f>
        <v>139.56590909090909</v>
      </c>
      <c r="M44" s="118">
        <f>E44/$E$43</f>
        <v>34.891477272727272</v>
      </c>
    </row>
    <row r="45" spans="3:13" s="3" customFormat="1" x14ac:dyDescent="0.35">
      <c r="C45" s="6" t="s">
        <v>5</v>
      </c>
      <c r="D45" s="8" t="s">
        <v>72</v>
      </c>
      <c r="E45" s="71">
        <v>4415.46</v>
      </c>
      <c r="F45" s="71">
        <f t="shared" ref="F45:F52" si="0">M45*$F$43</f>
        <v>3512.2977272727276</v>
      </c>
      <c r="G45" s="71">
        <f t="shared" ref="G45:G52" si="1">M45*$G$43</f>
        <v>2809.838181818182</v>
      </c>
      <c r="H45" s="71">
        <f t="shared" ref="H45:H52" si="2">M45*$H$43</f>
        <v>2207.73</v>
      </c>
      <c r="I45" s="71">
        <f t="shared" ref="I45:I52" si="3">M45*$I$43</f>
        <v>2107.3786363636364</v>
      </c>
      <c r="J45" s="71">
        <f t="shared" ref="J45:J52" si="4">M45*$J$43</f>
        <v>1404.919090909091</v>
      </c>
      <c r="K45" s="71">
        <f t="shared" ref="K45:K52" si="5">M45*$K$43</f>
        <v>702.45954545454549</v>
      </c>
      <c r="L45" s="71">
        <f t="shared" ref="L45:L52" si="6">M45*$L$43</f>
        <v>200.70272727272729</v>
      </c>
      <c r="M45" s="119">
        <f t="shared" ref="M45:M52" si="7">E45/$E$43</f>
        <v>50.175681818181822</v>
      </c>
    </row>
    <row r="46" spans="3:13" s="3" customFormat="1" x14ac:dyDescent="0.35">
      <c r="C46" s="6" t="s">
        <v>4</v>
      </c>
      <c r="D46" s="8" t="s">
        <v>71</v>
      </c>
      <c r="E46" s="71">
        <v>4000</v>
      </c>
      <c r="F46" s="71">
        <f t="shared" si="0"/>
        <v>3181.8181818181815</v>
      </c>
      <c r="G46" s="71">
        <f t="shared" si="1"/>
        <v>2545.4545454545455</v>
      </c>
      <c r="H46" s="71">
        <f t="shared" si="2"/>
        <v>2000</v>
      </c>
      <c r="I46" s="71">
        <f t="shared" si="3"/>
        <v>1909.090909090909</v>
      </c>
      <c r="J46" s="71">
        <f t="shared" si="4"/>
        <v>1272.7272727272727</v>
      </c>
      <c r="K46" s="71">
        <f t="shared" si="5"/>
        <v>636.36363636363637</v>
      </c>
      <c r="L46" s="71">
        <f t="shared" si="6"/>
        <v>181.81818181818181</v>
      </c>
      <c r="M46" s="119">
        <f t="shared" si="7"/>
        <v>45.454545454545453</v>
      </c>
    </row>
    <row r="47" spans="3:13" s="3" customFormat="1" x14ac:dyDescent="0.35">
      <c r="C47" s="6" t="s">
        <v>3</v>
      </c>
      <c r="D47" s="8" t="s">
        <v>73</v>
      </c>
      <c r="E47" s="71">
        <v>3000</v>
      </c>
      <c r="F47" s="71">
        <f t="shared" si="0"/>
        <v>2386.3636363636365</v>
      </c>
      <c r="G47" s="71">
        <f t="shared" si="1"/>
        <v>1909.0909090909092</v>
      </c>
      <c r="H47" s="71">
        <f t="shared" si="2"/>
        <v>1500</v>
      </c>
      <c r="I47" s="71">
        <f t="shared" si="3"/>
        <v>1431.818181818182</v>
      </c>
      <c r="J47" s="71">
        <f t="shared" si="4"/>
        <v>954.54545454545462</v>
      </c>
      <c r="K47" s="71">
        <f t="shared" si="5"/>
        <v>477.27272727272731</v>
      </c>
      <c r="L47" s="71">
        <f t="shared" si="6"/>
        <v>136.36363636363637</v>
      </c>
      <c r="M47" s="119">
        <f t="shared" si="7"/>
        <v>34.090909090909093</v>
      </c>
    </row>
    <row r="48" spans="3:13" s="3" customFormat="1" x14ac:dyDescent="0.35">
      <c r="C48" s="6" t="s">
        <v>2</v>
      </c>
      <c r="D48" s="8" t="s">
        <v>74</v>
      </c>
      <c r="E48" s="71">
        <v>2000</v>
      </c>
      <c r="F48" s="71">
        <f t="shared" si="0"/>
        <v>1590.9090909090908</v>
      </c>
      <c r="G48" s="71">
        <f t="shared" si="1"/>
        <v>1272.7272727272727</v>
      </c>
      <c r="H48" s="71">
        <f t="shared" si="2"/>
        <v>1000</v>
      </c>
      <c r="I48" s="71">
        <f t="shared" si="3"/>
        <v>954.5454545454545</v>
      </c>
      <c r="J48" s="71">
        <f t="shared" si="4"/>
        <v>636.36363636363637</v>
      </c>
      <c r="K48" s="71">
        <f t="shared" si="5"/>
        <v>318.18181818181819</v>
      </c>
      <c r="L48" s="71">
        <f t="shared" si="6"/>
        <v>90.909090909090907</v>
      </c>
      <c r="M48" s="119">
        <f t="shared" si="7"/>
        <v>22.727272727272727</v>
      </c>
    </row>
    <row r="49" spans="3:13" s="3" customFormat="1" x14ac:dyDescent="0.35">
      <c r="C49" s="6" t="s">
        <v>1</v>
      </c>
      <c r="D49" s="7" t="s">
        <v>78</v>
      </c>
      <c r="E49" s="71">
        <v>9000</v>
      </c>
      <c r="F49" s="71">
        <f t="shared" si="0"/>
        <v>7159.090909090909</v>
      </c>
      <c r="G49" s="71">
        <f t="shared" si="1"/>
        <v>5727.272727272727</v>
      </c>
      <c r="H49" s="71">
        <f t="shared" si="2"/>
        <v>4500</v>
      </c>
      <c r="I49" s="71">
        <f t="shared" si="3"/>
        <v>4295.454545454545</v>
      </c>
      <c r="J49" s="71">
        <f t="shared" si="4"/>
        <v>2863.6363636363635</v>
      </c>
      <c r="K49" s="71">
        <f t="shared" si="5"/>
        <v>1431.8181818181818</v>
      </c>
      <c r="L49" s="71">
        <f t="shared" si="6"/>
        <v>409.09090909090907</v>
      </c>
      <c r="M49" s="119">
        <f t="shared" si="7"/>
        <v>102.27272727272727</v>
      </c>
    </row>
    <row r="50" spans="3:13" s="3" customFormat="1" x14ac:dyDescent="0.35">
      <c r="C50" s="6" t="s">
        <v>69</v>
      </c>
      <c r="D50" s="7" t="s">
        <v>75</v>
      </c>
      <c r="E50" s="71">
        <v>10000</v>
      </c>
      <c r="F50" s="71">
        <f t="shared" si="0"/>
        <v>7954.545454545455</v>
      </c>
      <c r="G50" s="71">
        <f t="shared" si="1"/>
        <v>6363.636363636364</v>
      </c>
      <c r="H50" s="71">
        <f t="shared" si="2"/>
        <v>5000</v>
      </c>
      <c r="I50" s="71">
        <f t="shared" si="3"/>
        <v>4772.727272727273</v>
      </c>
      <c r="J50" s="71">
        <f t="shared" si="4"/>
        <v>3181.818181818182</v>
      </c>
      <c r="K50" s="71">
        <f t="shared" si="5"/>
        <v>1590.909090909091</v>
      </c>
      <c r="L50" s="71">
        <f t="shared" si="6"/>
        <v>454.54545454545456</v>
      </c>
      <c r="M50" s="119">
        <f t="shared" si="7"/>
        <v>113.63636363636364</v>
      </c>
    </row>
    <row r="51" spans="3:13" s="3" customFormat="1" x14ac:dyDescent="0.35">
      <c r="C51" s="6" t="s">
        <v>67</v>
      </c>
      <c r="D51" s="7" t="s">
        <v>76</v>
      </c>
      <c r="E51" s="71">
        <v>12000</v>
      </c>
      <c r="F51" s="71">
        <f t="shared" si="0"/>
        <v>9545.454545454546</v>
      </c>
      <c r="G51" s="71">
        <f t="shared" si="1"/>
        <v>7636.3636363636369</v>
      </c>
      <c r="H51" s="71">
        <f t="shared" si="2"/>
        <v>6000</v>
      </c>
      <c r="I51" s="71">
        <f t="shared" si="3"/>
        <v>5727.2727272727279</v>
      </c>
      <c r="J51" s="71">
        <f t="shared" si="4"/>
        <v>3818.1818181818185</v>
      </c>
      <c r="K51" s="71">
        <f t="shared" si="5"/>
        <v>1909.0909090909092</v>
      </c>
      <c r="L51" s="71">
        <f t="shared" si="6"/>
        <v>545.4545454545455</v>
      </c>
      <c r="M51" s="119">
        <f t="shared" si="7"/>
        <v>136.36363636363637</v>
      </c>
    </row>
    <row r="52" spans="3:13" s="3" customFormat="1" ht="15" thickBot="1" x14ac:dyDescent="0.4">
      <c r="C52" s="5" t="s">
        <v>68</v>
      </c>
      <c r="D52" s="73" t="s">
        <v>77</v>
      </c>
      <c r="E52" s="72">
        <v>16500</v>
      </c>
      <c r="F52" s="72">
        <f t="shared" si="0"/>
        <v>13125</v>
      </c>
      <c r="G52" s="72">
        <f t="shared" si="1"/>
        <v>10500</v>
      </c>
      <c r="H52" s="72">
        <f t="shared" si="2"/>
        <v>8250</v>
      </c>
      <c r="I52" s="72">
        <f t="shared" si="3"/>
        <v>7875</v>
      </c>
      <c r="J52" s="72">
        <f t="shared" si="4"/>
        <v>5250</v>
      </c>
      <c r="K52" s="72">
        <f t="shared" si="5"/>
        <v>2625</v>
      </c>
      <c r="L52" s="72">
        <f t="shared" si="6"/>
        <v>750</v>
      </c>
      <c r="M52" s="120">
        <f t="shared" si="7"/>
        <v>187.5</v>
      </c>
    </row>
    <row r="53" spans="3:13" s="3" customFormat="1" x14ac:dyDescent="0.35">
      <c r="E53" s="4"/>
      <c r="F53" s="4"/>
      <c r="G53" s="4"/>
      <c r="H53" s="4"/>
      <c r="I53" s="4"/>
      <c r="J53" s="4"/>
      <c r="K53" s="4"/>
      <c r="L53" s="4"/>
    </row>
    <row r="54" spans="3:13" s="3" customFormat="1" x14ac:dyDescent="0.35">
      <c r="E54" s="4"/>
      <c r="F54" s="4"/>
      <c r="G54" s="4"/>
      <c r="H54" s="4"/>
      <c r="I54" s="4"/>
      <c r="J54" s="4"/>
      <c r="K54" s="4"/>
      <c r="L54" s="4"/>
    </row>
    <row r="55" spans="3:13" s="3" customFormat="1" x14ac:dyDescent="0.35">
      <c r="E55" s="4"/>
      <c r="F55" s="4"/>
      <c r="G55" s="4"/>
      <c r="H55" s="4"/>
      <c r="I55" s="4"/>
      <c r="J55" s="4"/>
      <c r="K55" s="4"/>
      <c r="L55" s="4"/>
    </row>
    <row r="56" spans="3:13" s="3" customFormat="1" x14ac:dyDescent="0.35">
      <c r="E56" s="4"/>
      <c r="F56" s="4"/>
      <c r="G56" s="4"/>
      <c r="H56" s="4"/>
      <c r="I56" s="4"/>
      <c r="J56" s="4"/>
      <c r="K56" s="4"/>
      <c r="L56" s="4"/>
    </row>
  </sheetData>
  <mergeCells count="10">
    <mergeCell ref="P8:P9"/>
    <mergeCell ref="Q8:Q9"/>
    <mergeCell ref="C28:C29"/>
    <mergeCell ref="D28:L28"/>
    <mergeCell ref="M28:M29"/>
    <mergeCell ref="C42:C43"/>
    <mergeCell ref="D42:L42"/>
    <mergeCell ref="M42:M43"/>
    <mergeCell ref="C8:L8"/>
    <mergeCell ref="N8:N9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O56"/>
  <sheetViews>
    <sheetView showGridLines="0" topLeftCell="A31" zoomScaleNormal="100" workbookViewId="0">
      <selection activeCell="B8" sqref="B8"/>
    </sheetView>
  </sheetViews>
  <sheetFormatPr defaultColWidth="9.453125" defaultRowHeight="14.5" x14ac:dyDescent="0.35"/>
  <cols>
    <col min="1" max="1" width="9.453125" style="1"/>
    <col min="2" max="2" width="46.81640625" style="1" customWidth="1"/>
    <col min="3" max="3" width="35.6328125" style="1" customWidth="1"/>
    <col min="4" max="4" width="16.36328125" style="2" bestFit="1" customWidth="1"/>
    <col min="5" max="5" width="16.54296875" style="2" customWidth="1"/>
    <col min="6" max="6" width="17.453125" style="2" customWidth="1"/>
    <col min="7" max="7" width="13.7265625" style="2" customWidth="1"/>
    <col min="8" max="8" width="14.26953125" style="2" customWidth="1"/>
    <col min="9" max="10" width="14.36328125" style="2" bestFit="1" customWidth="1"/>
    <col min="11" max="11" width="12.36328125" style="2" bestFit="1" customWidth="1"/>
    <col min="12" max="12" width="11" style="1" customWidth="1"/>
    <col min="13" max="13" width="12.36328125" style="127" customWidth="1"/>
    <col min="14" max="14" width="15.36328125" style="1" customWidth="1"/>
    <col min="15" max="15" width="16.81640625" style="1" customWidth="1"/>
    <col min="16" max="16" width="21" style="1" bestFit="1" customWidth="1"/>
    <col min="17" max="16384" width="9.453125" style="1"/>
  </cols>
  <sheetData>
    <row r="3" spans="2:15" ht="15" customHeight="1" x14ac:dyDescent="0.35">
      <c r="G3" s="125"/>
      <c r="H3" s="213"/>
    </row>
    <row r="4" spans="2:15" ht="32.25" customHeight="1" x14ac:dyDescent="0.35">
      <c r="D4" s="123" t="s">
        <v>109</v>
      </c>
      <c r="E4" s="123" t="s">
        <v>110</v>
      </c>
      <c r="F4" s="167" t="s">
        <v>111</v>
      </c>
      <c r="G4" s="125"/>
      <c r="H4" s="213"/>
    </row>
    <row r="5" spans="2:15" ht="15" customHeight="1" x14ac:dyDescent="0.45">
      <c r="B5" s="80" t="s">
        <v>79</v>
      </c>
      <c r="C5" s="80"/>
      <c r="D5" s="124">
        <v>41650.92</v>
      </c>
      <c r="E5" s="124">
        <v>44008.52</v>
      </c>
      <c r="F5" s="126">
        <v>46366.19</v>
      </c>
      <c r="G5" s="126"/>
      <c r="H5" s="61"/>
      <c r="M5" s="128"/>
      <c r="N5" s="3"/>
    </row>
    <row r="6" spans="2:15" ht="18.5" x14ac:dyDescent="0.35">
      <c r="B6" s="80" t="s">
        <v>80</v>
      </c>
      <c r="C6" s="80"/>
      <c r="D6" s="82">
        <v>39200</v>
      </c>
      <c r="E6" s="81"/>
      <c r="F6" s="229"/>
      <c r="G6" s="229"/>
      <c r="H6" s="58"/>
      <c r="M6" s="128"/>
      <c r="N6" s="3"/>
    </row>
    <row r="7" spans="2:15" ht="18.5" x14ac:dyDescent="0.35">
      <c r="B7" s="80" t="s">
        <v>81</v>
      </c>
      <c r="C7" s="80"/>
      <c r="D7" s="82">
        <f>D5-D6</f>
        <v>2450.9199999999983</v>
      </c>
      <c r="E7" s="81"/>
      <c r="F7" s="229"/>
      <c r="G7" s="229"/>
      <c r="H7" s="61"/>
      <c r="M7" s="128"/>
      <c r="N7" s="3"/>
    </row>
    <row r="8" spans="2:15" ht="19" thickBot="1" x14ac:dyDescent="0.4">
      <c r="B8" s="204" t="s">
        <v>131</v>
      </c>
      <c r="C8" s="80"/>
      <c r="D8" s="82"/>
      <c r="E8" s="81"/>
      <c r="F8" s="229"/>
      <c r="G8" s="229"/>
      <c r="H8" s="61"/>
      <c r="M8" s="128"/>
      <c r="N8" s="3"/>
    </row>
    <row r="9" spans="2:15" ht="30.75" customHeight="1" thickBot="1" x14ac:dyDescent="0.4">
      <c r="B9" s="225" t="s">
        <v>66</v>
      </c>
      <c r="C9" s="226"/>
      <c r="D9" s="226"/>
      <c r="E9" s="226"/>
      <c r="F9" s="226"/>
      <c r="G9" s="226"/>
      <c r="H9" s="226"/>
      <c r="I9" s="226"/>
      <c r="J9" s="226"/>
      <c r="K9" s="226"/>
      <c r="L9" s="77" t="s">
        <v>7</v>
      </c>
      <c r="M9" s="235" t="s">
        <v>117</v>
      </c>
      <c r="N9" s="236"/>
      <c r="O9" s="231" t="s">
        <v>120</v>
      </c>
    </row>
    <row r="10" spans="2:15" ht="15" thickBot="1" x14ac:dyDescent="0.4">
      <c r="B10" s="113" t="s">
        <v>9</v>
      </c>
      <c r="C10" s="113" t="s">
        <v>63</v>
      </c>
      <c r="D10" s="114" t="s">
        <v>62</v>
      </c>
      <c r="E10" s="114" t="s">
        <v>61</v>
      </c>
      <c r="F10" s="114" t="s">
        <v>60</v>
      </c>
      <c r="G10" s="114" t="s">
        <v>59</v>
      </c>
      <c r="H10" s="114" t="s">
        <v>58</v>
      </c>
      <c r="I10" s="114" t="s">
        <v>57</v>
      </c>
      <c r="J10" s="114" t="s">
        <v>56</v>
      </c>
      <c r="K10" s="115" t="s">
        <v>55</v>
      </c>
      <c r="L10" s="116" t="s">
        <v>121</v>
      </c>
      <c r="M10" s="237"/>
      <c r="N10" s="238"/>
      <c r="O10" s="232"/>
    </row>
    <row r="11" spans="2:15" ht="16" thickBot="1" x14ac:dyDescent="0.4">
      <c r="B11" s="133" t="s">
        <v>53</v>
      </c>
      <c r="C11" s="117" t="s">
        <v>52</v>
      </c>
      <c r="D11" s="83">
        <f>8009.80937955648+$D$7</f>
        <v>10460.729379556478</v>
      </c>
      <c r="E11" s="83">
        <f>Tabela83[[#This Row],[Coluna1]]*Tabela83[[#Headers],[70]]</f>
        <v>8321.0347337381081</v>
      </c>
      <c r="F11" s="83">
        <f>Tabela83[[#This Row],[Coluna1]]*Tabela83[[#Headers],[56]]</f>
        <v>6656.8277869904859</v>
      </c>
      <c r="G11" s="83">
        <f>Tabela83[[#This Row],[Coluna1]]*Tabela83[[#Headers],[44]]</f>
        <v>5230.3646897782392</v>
      </c>
      <c r="H11" s="83">
        <f>Tabela83[[#This Row],[Coluna1]]*Tabela83[[#Headers],[42]]</f>
        <v>4992.6208402428647</v>
      </c>
      <c r="I11" s="83">
        <f>Tabela83[[#This Row],[Coluna1]]*Tabela83[[#Headers],[28]]</f>
        <v>3328.413893495243</v>
      </c>
      <c r="J11" s="83">
        <f>Tabela83[[#This Row],[Coluna1]]*Tabela83[[#Headers],[14]]</f>
        <v>1664.2069467476215</v>
      </c>
      <c r="K11" s="139">
        <f>Tabela83[[#This Row],[Coluna1]]*Tabela83[[#Headers],[4]]</f>
        <v>475.48769907074899</v>
      </c>
      <c r="L11" s="197">
        <f>Tabela83[[#This Row],[88]]/Tabela83[[#Headers],[88]]</f>
        <v>118.87192476768725</v>
      </c>
      <c r="M11" s="152">
        <v>5874.62</v>
      </c>
      <c r="N11" s="153">
        <v>8486</v>
      </c>
      <c r="O11" s="148">
        <f>N11+Tabela83[[#This Row],[88]]</f>
        <v>18946.729379556476</v>
      </c>
    </row>
    <row r="12" spans="2:15" ht="15.5" x14ac:dyDescent="0.35">
      <c r="B12" s="134" t="s">
        <v>51</v>
      </c>
      <c r="C12" s="51" t="s">
        <v>50</v>
      </c>
      <c r="D12" s="84">
        <f>9985.73907686152+$D$7</f>
        <v>12436.659076861519</v>
      </c>
      <c r="E12" s="84">
        <f>Tabela83[[#This Row],[Coluna1]]*Tabela83[[#Headers],[70]]</f>
        <v>9892.7969929580267</v>
      </c>
      <c r="F12" s="84">
        <f>Tabela83[[#This Row],[Coluna1]]*Tabela83[[#Headers],[56]]</f>
        <v>7914.237594366421</v>
      </c>
      <c r="G12" s="84">
        <f>Tabela83[[#This Row],[Coluna1]]*Tabela83[[#Headers],[44]]</f>
        <v>6218.3295384307594</v>
      </c>
      <c r="H12" s="84">
        <f>Tabela83[[#This Row],[Coluna1]]*Tabela83[[#Headers],[42]]</f>
        <v>5935.6781957748153</v>
      </c>
      <c r="I12" s="84">
        <f>Tabela83[[#This Row],[Coluna1]]*Tabela83[[#Headers],[28]]</f>
        <v>3957.1187971832105</v>
      </c>
      <c r="J12" s="84">
        <f>Tabela83[[#This Row],[Coluna1]]*Tabela83[[#Headers],[14]]</f>
        <v>1978.5593985916053</v>
      </c>
      <c r="K12" s="140">
        <f>Tabela83[[#This Row],[Coluna1]]*Tabela83[[#Headers],[4]]</f>
        <v>565.30268531188722</v>
      </c>
      <c r="L12" s="171">
        <f>Tabela83[[#This Row],[88]]/Tabela83[[#Headers],[88]]</f>
        <v>141.3256713279718</v>
      </c>
      <c r="M12" s="154">
        <v>9922.6200000000008</v>
      </c>
      <c r="N12" s="118">
        <v>12489.89</v>
      </c>
      <c r="O12" s="149">
        <f>N12+Tabela83[[#This Row],[88]]</f>
        <v>24926.54907686152</v>
      </c>
    </row>
    <row r="13" spans="2:15" ht="15.5" x14ac:dyDescent="0.35">
      <c r="B13" s="135" t="s">
        <v>49</v>
      </c>
      <c r="C13" s="46" t="s">
        <v>48</v>
      </c>
      <c r="D13" s="85">
        <f>10285.3327852955+D7</f>
        <v>12736.252785295499</v>
      </c>
      <c r="E13" s="85">
        <f>Tabela83[[#This Row],[Coluna1]]*Tabela83[[#Headers],[70]]</f>
        <v>10131.110170121421</v>
      </c>
      <c r="F13" s="85">
        <f>Tabela83[[#This Row],[Coluna1]]*Tabela83[[#Headers],[56]]</f>
        <v>8104.8881360971363</v>
      </c>
      <c r="G13" s="85">
        <f>Tabela83[[#This Row],[Coluna1]]*Tabela83[[#Headers],[44]]</f>
        <v>6368.1263926477495</v>
      </c>
      <c r="H13" s="85">
        <f>Tabela83[[#This Row],[Coluna1]]*Tabela83[[#Headers],[42]]</f>
        <v>6078.6661020728525</v>
      </c>
      <c r="I13" s="85">
        <f>Tabela83[[#This Row],[Coluna1]]*Tabela83[[#Headers],[28]]</f>
        <v>4052.4440680485682</v>
      </c>
      <c r="J13" s="85">
        <f>Tabela83[[#This Row],[Coluna1]]*Tabela83[[#Headers],[14]]</f>
        <v>2026.2220340242841</v>
      </c>
      <c r="K13" s="141">
        <f>Tabela83[[#This Row],[Coluna1]]*Tabela83[[#Headers],[4]]</f>
        <v>578.92058114979545</v>
      </c>
      <c r="L13" s="172">
        <f>Tabela83[[#This Row],[88]]/Tabela83[[#Headers],[88]]</f>
        <v>144.73014528744886</v>
      </c>
      <c r="M13" s="155">
        <v>10000</v>
      </c>
      <c r="N13" s="119">
        <v>12500</v>
      </c>
      <c r="O13" s="150">
        <f>N13+Tabela83[[#This Row],[88]]</f>
        <v>25236.252785295499</v>
      </c>
    </row>
    <row r="14" spans="2:15" ht="15.5" x14ac:dyDescent="0.35">
      <c r="B14" s="135" t="s">
        <v>47</v>
      </c>
      <c r="C14" s="46" t="s">
        <v>46</v>
      </c>
      <c r="D14" s="85">
        <f>10593.8831077876+D7</f>
        <v>13044.803107787598</v>
      </c>
      <c r="E14" s="85">
        <f>Tabela83[[#This Row],[Coluna1]]*Tabela83[[#Headers],[70]]</f>
        <v>10376.547926649226</v>
      </c>
      <c r="F14" s="85">
        <f>Tabela83[[#This Row],[Coluna1]]*Tabela83[[#Headers],[56]]</f>
        <v>8301.2383413193802</v>
      </c>
      <c r="G14" s="85">
        <f>Tabela83[[#This Row],[Coluna1]]*Tabela83[[#Headers],[44]]</f>
        <v>6522.4015538937992</v>
      </c>
      <c r="H14" s="85">
        <f>Tabela83[[#This Row],[Coluna1]]*Tabela83[[#Headers],[42]]</f>
        <v>6225.9287559895356</v>
      </c>
      <c r="I14" s="85">
        <f>Tabela83[[#This Row],[Coluna1]]*Tabela83[[#Headers],[28]]</f>
        <v>4150.6191706596901</v>
      </c>
      <c r="J14" s="85">
        <f>Tabela83[[#This Row],[Coluna1]]*Tabela83[[#Headers],[14]]</f>
        <v>2075.309585329845</v>
      </c>
      <c r="K14" s="141">
        <f>Tabela83[[#This Row],[Coluna1]]*Tabela83[[#Headers],[4]]</f>
        <v>592.94559580852717</v>
      </c>
      <c r="L14" s="172">
        <f>Tabela83[[#This Row],[88]]/Tabela83[[#Headers],[88]]</f>
        <v>148.23639895213179</v>
      </c>
      <c r="M14" s="156">
        <v>10526.91</v>
      </c>
      <c r="N14" s="119">
        <v>13146.94</v>
      </c>
      <c r="O14" s="150">
        <f>M14+Tabela83[[#This Row],[88]]</f>
        <v>23571.713107787597</v>
      </c>
    </row>
    <row r="15" spans="2:15" ht="16" thickBot="1" x14ac:dyDescent="0.4">
      <c r="B15" s="136" t="s">
        <v>45</v>
      </c>
      <c r="C15" s="54" t="s">
        <v>44</v>
      </c>
      <c r="D15" s="86">
        <f>10911.6919526766+D7</f>
        <v>13362.611952676598</v>
      </c>
      <c r="E15" s="86">
        <f>Tabela83[[#This Row],[Coluna1]]*Tabela83[[#Headers],[70]]</f>
        <v>10629.35041690184</v>
      </c>
      <c r="F15" s="86">
        <f>Tabela83[[#This Row],[Coluna1]]*Tabela83[[#Headers],[56]]</f>
        <v>8503.480333521471</v>
      </c>
      <c r="G15" s="86">
        <f>Tabela83[[#This Row],[Coluna1]]*Tabela83[[#Headers],[44]]</f>
        <v>6681.3059763382989</v>
      </c>
      <c r="H15" s="86">
        <f>Tabela83[[#This Row],[Coluna1]]*Tabela83[[#Headers],[42]]</f>
        <v>6377.6102501411042</v>
      </c>
      <c r="I15" s="86">
        <f>Tabela83[[#This Row],[Coluna1]]*Tabela83[[#Headers],[28]]</f>
        <v>4251.7401667607355</v>
      </c>
      <c r="J15" s="86">
        <f>Tabela83[[#This Row],[Coluna1]]*Tabela83[[#Headers],[14]]</f>
        <v>2125.8700833803678</v>
      </c>
      <c r="K15" s="142">
        <f>Tabela83[[#This Row],[Coluna1]]*Tabela83[[#Headers],[4]]</f>
        <v>607.39145239439085</v>
      </c>
      <c r="L15" s="198">
        <f>Tabela83[[#This Row],[88]]/Tabela83[[#Headers],[88]]</f>
        <v>151.84786309859771</v>
      </c>
      <c r="M15" s="157">
        <v>10842.72</v>
      </c>
      <c r="N15" s="158">
        <v>20565.57</v>
      </c>
      <c r="O15" s="151">
        <f>N15+Tabela83[[#This Row],[88]]</f>
        <v>33928.181952676598</v>
      </c>
    </row>
    <row r="16" spans="2:15" ht="15.5" x14ac:dyDescent="0.35">
      <c r="B16" s="134" t="s">
        <v>43</v>
      </c>
      <c r="C16" s="51" t="s">
        <v>42</v>
      </c>
      <c r="D16" s="84">
        <f>12729.4418075508+D7</f>
        <v>15180.361807550798</v>
      </c>
      <c r="E16" s="84">
        <f>Tabela83[[#This Row],[Coluna1]]*Tabela83[[#Headers],[70]]</f>
        <v>12075.287801460863</v>
      </c>
      <c r="F16" s="84">
        <f>Tabela83[[#This Row],[Coluna1]]*Tabela83[[#Headers],[56]]</f>
        <v>9660.2302411686906</v>
      </c>
      <c r="G16" s="84">
        <f>Tabela83[[#This Row],[Coluna1]]*Tabela83[[#Headers],[44]]</f>
        <v>7590.1809037753992</v>
      </c>
      <c r="H16" s="84">
        <f>Tabela83[[#This Row],[Coluna1]]*Tabela83[[#Headers],[42]]</f>
        <v>7245.1726808765179</v>
      </c>
      <c r="I16" s="84">
        <f>Tabela83[[#This Row],[Coluna1]]*Tabela83[[#Headers],[28]]</f>
        <v>4830.1151205843453</v>
      </c>
      <c r="J16" s="84">
        <f>Tabela83[[#This Row],[Coluna1]]*Tabela83[[#Headers],[14]]</f>
        <v>2415.0575602921726</v>
      </c>
      <c r="K16" s="140">
        <f>Tabela83[[#This Row],[Coluna1]]*Tabela83[[#Headers],[4]]</f>
        <v>690.01644579776359</v>
      </c>
      <c r="L16" s="171">
        <f>Tabela83[[#This Row],[88]]/Tabela83[[#Headers],[88]]</f>
        <v>172.5041114494409</v>
      </c>
      <c r="M16" s="154">
        <v>12648.98</v>
      </c>
      <c r="N16" s="118">
        <v>22792.07</v>
      </c>
      <c r="O16" s="149">
        <f>N16+Tabela83[[#This Row],[88]]</f>
        <v>37972.431807550798</v>
      </c>
    </row>
    <row r="17" spans="2:15" ht="15.5" x14ac:dyDescent="0.35">
      <c r="B17" s="135" t="s">
        <v>41</v>
      </c>
      <c r="C17" s="46" t="s">
        <v>40</v>
      </c>
      <c r="D17" s="85">
        <f>13111.3357292053+D7</f>
        <v>15562.255729205299</v>
      </c>
      <c r="E17" s="85">
        <f>Tabela83[[#This Row],[Coluna1]]*Tabela83[[#Headers],[70]]</f>
        <v>12379.067057322398</v>
      </c>
      <c r="F17" s="85">
        <f>Tabela83[[#This Row],[Coluna1]]*Tabela83[[#Headers],[56]]</f>
        <v>9903.2536458579179</v>
      </c>
      <c r="G17" s="85">
        <f>Tabela83[[#This Row],[Coluna1]]*Tabela83[[#Headers],[44]]</f>
        <v>7781.1278646026503</v>
      </c>
      <c r="H17" s="85">
        <f>Tabela83[[#This Row],[Coluna1]]*Tabela83[[#Headers],[42]]</f>
        <v>7427.4402343934389</v>
      </c>
      <c r="I17" s="85">
        <f>Tabela83[[#This Row],[Coluna1]]*Tabela83[[#Headers],[28]]</f>
        <v>4951.626822928959</v>
      </c>
      <c r="J17" s="85">
        <f>Tabela83[[#This Row],[Coluna1]]*Tabela83[[#Headers],[14]]</f>
        <v>2475.8134114644795</v>
      </c>
      <c r="K17" s="141">
        <f>Tabela83[[#This Row],[Coluna1]]*Tabela83[[#Headers],[4]]</f>
        <v>707.37526041842273</v>
      </c>
      <c r="L17" s="172">
        <f>Tabela83[[#This Row],[88]]/Tabela83[[#Headers],[88]]</f>
        <v>176.84381510460568</v>
      </c>
      <c r="M17" s="155">
        <v>13028.44</v>
      </c>
      <c r="N17" s="119">
        <v>19798.009999999998</v>
      </c>
      <c r="O17" s="150">
        <f>N17+Tabela83[[#This Row],[88]]</f>
        <v>35360.265729205297</v>
      </c>
    </row>
    <row r="18" spans="2:15" ht="15.5" x14ac:dyDescent="0.35">
      <c r="B18" s="135" t="s">
        <v>39</v>
      </c>
      <c r="C18" s="46" t="s">
        <v>38</v>
      </c>
      <c r="D18" s="85">
        <f>13504.6518496866+D7</f>
        <v>15955.571849686597</v>
      </c>
      <c r="E18" s="85">
        <f>Tabela83[[#This Row],[Coluna1]]*Tabela83[[#Headers],[70]]</f>
        <v>12691.932153159793</v>
      </c>
      <c r="F18" s="85">
        <f>Tabela83[[#This Row],[Coluna1]]*Tabela83[[#Headers],[56]]</f>
        <v>10153.545722527833</v>
      </c>
      <c r="G18" s="85">
        <f>Tabela83[[#This Row],[Coluna1]]*Tabela83[[#Headers],[44]]</f>
        <v>7977.7859248432978</v>
      </c>
      <c r="H18" s="85">
        <f>Tabela83[[#This Row],[Coluna1]]*Tabela83[[#Headers],[42]]</f>
        <v>7615.1592918958759</v>
      </c>
      <c r="I18" s="85">
        <f>Tabela83[[#This Row],[Coluna1]]*Tabela83[[#Headers],[28]]</f>
        <v>5076.7728612639166</v>
      </c>
      <c r="J18" s="85">
        <f>Tabela83[[#This Row],[Coluna1]]*Tabela83[[#Headers],[14]]</f>
        <v>2538.3864306319583</v>
      </c>
      <c r="K18" s="141">
        <f>Tabela83[[#This Row],[Coluna1]]*Tabela83[[#Headers],[4]]</f>
        <v>725.2532658948453</v>
      </c>
      <c r="L18" s="172">
        <f>Tabela83[[#This Row],[88]]/Tabela83[[#Headers],[88]]</f>
        <v>181.31331647371132</v>
      </c>
      <c r="M18" s="156">
        <v>13419.29</v>
      </c>
      <c r="N18" s="119">
        <v>31038.53</v>
      </c>
      <c r="O18" s="168">
        <f>N18+Tabela83[[#This Row],[88]]</f>
        <v>46994.101849686595</v>
      </c>
    </row>
    <row r="19" spans="2:15" ht="16" thickBot="1" x14ac:dyDescent="0.4">
      <c r="B19" s="136" t="s">
        <v>37</v>
      </c>
      <c r="C19" s="54" t="s">
        <v>36</v>
      </c>
      <c r="D19" s="86">
        <f>13909.7927134466+D7</f>
        <v>16360.712713446599</v>
      </c>
      <c r="E19" s="86">
        <f>Tabela83[[#This Row],[Coluna1]]*Tabela83[[#Headers],[70]]</f>
        <v>13014.203294787067</v>
      </c>
      <c r="F19" s="86">
        <f>Tabela83[[#This Row],[Coluna1]]*Tabela83[[#Headers],[56]]</f>
        <v>10411.362635829653</v>
      </c>
      <c r="G19" s="86">
        <f>Tabela83[[#This Row],[Coluna1]]*Tabela83[[#Headers],[44]]</f>
        <v>8180.3563567232995</v>
      </c>
      <c r="H19" s="86">
        <f>Tabela83[[#This Row],[Coluna1]]*Tabela83[[#Headers],[42]]</f>
        <v>7808.52197687224</v>
      </c>
      <c r="I19" s="86">
        <f>Tabela83[[#This Row],[Coluna1]]*Tabela83[[#Headers],[28]]</f>
        <v>5205.6813179148266</v>
      </c>
      <c r="J19" s="86">
        <f>Tabela83[[#This Row],[Coluna1]]*Tabela83[[#Headers],[14]]</f>
        <v>2602.8406589574133</v>
      </c>
      <c r="K19" s="142">
        <f>Tabela83[[#This Row],[Coluna1]]*Tabela83[[#Headers],[4]]</f>
        <v>743.66875970211811</v>
      </c>
      <c r="L19" s="198">
        <f>Tabela83[[#This Row],[88]]/Tabela83[[#Headers],[88]]</f>
        <v>185.91718992552953</v>
      </c>
      <c r="M19" s="159">
        <v>13821.87</v>
      </c>
      <c r="N19" s="158">
        <v>27713.84</v>
      </c>
      <c r="O19" s="169">
        <f>N19+Tabela83[[#This Row],[88]]</f>
        <v>44074.552713446596</v>
      </c>
    </row>
    <row r="20" spans="2:15" ht="15.5" x14ac:dyDescent="0.35">
      <c r="B20" s="134" t="s">
        <v>35</v>
      </c>
      <c r="C20" s="51" t="s">
        <v>34</v>
      </c>
      <c r="D20" s="84">
        <f>16500.7700790303+D7</f>
        <v>18951.690079030297</v>
      </c>
      <c r="E20" s="84">
        <f>Tabela83[[#This Row],[Coluna1]]*Tabela83[[#Headers],[70]]</f>
        <v>15075.208017410463</v>
      </c>
      <c r="F20" s="143">
        <f>Tabela83[[#This Row],[Coluna1]]*Tabela83[[#Headers],[56]]</f>
        <v>12060.166413928371</v>
      </c>
      <c r="G20" s="84">
        <f>Tabela83[[#This Row],[Coluna1]]*Tabela83[[#Headers],[44]]</f>
        <v>9475.8450395151485</v>
      </c>
      <c r="H20" s="84">
        <f>Tabela83[[#This Row],[Coluna1]]*Tabela83[[#Headers],[42]]</f>
        <v>9045.1248104462775</v>
      </c>
      <c r="I20" s="84">
        <f>Tabela83[[#This Row],[Coluna1]]*Tabela83[[#Headers],[28]]</f>
        <v>6030.0832069641856</v>
      </c>
      <c r="J20" s="84">
        <f>Tabela83[[#This Row],[Coluna1]]*Tabela83[[#Headers],[14]]</f>
        <v>3015.0416034820928</v>
      </c>
      <c r="K20" s="140">
        <f>Tabela83[[#This Row],[Coluna1]]*Tabela83[[#Headers],[4]]</f>
        <v>861.44045813774073</v>
      </c>
      <c r="L20" s="171">
        <f>Tabela83[[#This Row],[88]]/Tabela83[[#Headers],[88]]</f>
        <v>215.36011453443518</v>
      </c>
      <c r="M20" s="160">
        <v>16396.47</v>
      </c>
      <c r="N20" s="118">
        <v>36316.959999999999</v>
      </c>
      <c r="O20" s="170">
        <f>N20+Tabela83[[#This Row],[88]]</f>
        <v>55268.650079030296</v>
      </c>
    </row>
    <row r="21" spans="2:15" ht="15.5" x14ac:dyDescent="0.35">
      <c r="B21" s="135" t="s">
        <v>33</v>
      </c>
      <c r="C21" s="46" t="s">
        <v>32</v>
      </c>
      <c r="D21" s="85">
        <f>16995.8091825432+D7</f>
        <v>19446.729182543197</v>
      </c>
      <c r="E21" s="85">
        <f>Tabela83[[#This Row],[Coluna1]]*Tabela83[[#Headers],[70]]</f>
        <v>15468.989122477542</v>
      </c>
      <c r="F21" s="144">
        <f>Tabela83[[#This Row],[Coluna1]]*Tabela83[[#Headers],[56]]</f>
        <v>12375.191297982034</v>
      </c>
      <c r="G21" s="85">
        <f>Tabela83[[#This Row],[Coluna1]]*Tabela83[[#Headers],[44]]</f>
        <v>9723.3645912715983</v>
      </c>
      <c r="H21" s="85">
        <f>Tabela83[[#This Row],[Coluna1]]*Tabela83[[#Headers],[42]]</f>
        <v>9281.3934734865252</v>
      </c>
      <c r="I21" s="85">
        <f>Tabela83[[#This Row],[Coluna1]]*Tabela83[[#Headers],[28]]</f>
        <v>6187.5956489910168</v>
      </c>
      <c r="J21" s="85">
        <f>Tabela83[[#This Row],[Coluna1]]*Tabela83[[#Headers],[14]]</f>
        <v>3093.7978244955084</v>
      </c>
      <c r="K21" s="141">
        <f>Tabela83[[#This Row],[Coluna1]]*Tabela83[[#Headers],[4]]</f>
        <v>883.94223557014527</v>
      </c>
      <c r="L21" s="172">
        <f>Tabela83[[#This Row],[88]]/Tabela83[[#Headers],[88]]</f>
        <v>220.98555889253632</v>
      </c>
      <c r="M21" s="161">
        <v>16888.38</v>
      </c>
      <c r="N21" s="119">
        <v>30391.95</v>
      </c>
      <c r="O21" s="168">
        <f>N21+Tabela83[[#This Row],[88]]</f>
        <v>49838.679182543201</v>
      </c>
    </row>
    <row r="22" spans="2:15" ht="15.5" x14ac:dyDescent="0.35">
      <c r="B22" s="135" t="s">
        <v>31</v>
      </c>
      <c r="C22" s="46" t="s">
        <v>30</v>
      </c>
      <c r="D22" s="85">
        <f>17507.67+D7</f>
        <v>19958.589999999997</v>
      </c>
      <c r="E22" s="85">
        <f>Tabela83[[#This Row],[Coluna1]]*Tabela83[[#Headers],[70]]</f>
        <v>15876.151136363633</v>
      </c>
      <c r="F22" s="144">
        <f>Tabela83[[#This Row],[Coluna1]]*Tabela83[[#Headers],[56]]</f>
        <v>12700.920909090906</v>
      </c>
      <c r="G22" s="85">
        <f>Tabela83[[#This Row],[Coluna1]]*Tabela83[[#Headers],[44]]</f>
        <v>9979.2949999999983</v>
      </c>
      <c r="H22" s="85">
        <f>Tabela83[[#This Row],[Coluna1]]*Tabela83[[#Headers],[42]]</f>
        <v>9525.6906818181797</v>
      </c>
      <c r="I22" s="85">
        <f>Tabela83[[#This Row],[Coluna1]]*Tabela83[[#Headers],[28]]</f>
        <v>6350.4604545454531</v>
      </c>
      <c r="J22" s="85">
        <f>Tabela83[[#This Row],[Coluna1]]*Tabela83[[#Headers],[14]]</f>
        <v>3175.2302272727266</v>
      </c>
      <c r="K22" s="141">
        <f>Tabela83[[#This Row],[Coluna1]]*Tabela83[[#Headers],[4]]</f>
        <v>907.20863636363617</v>
      </c>
      <c r="L22" s="172">
        <f>Tabela83[[#This Row],[88]]/Tabela83[[#Headers],[88]]</f>
        <v>226.80215909090904</v>
      </c>
      <c r="M22" s="161">
        <v>17395.02</v>
      </c>
      <c r="N22" s="119">
        <v>43019.64</v>
      </c>
      <c r="O22" s="168">
        <f>N22+Tabela83[[#This Row],[88]]</f>
        <v>62978.229999999996</v>
      </c>
    </row>
    <row r="23" spans="2:15" ht="16" thickBot="1" x14ac:dyDescent="0.4">
      <c r="B23" s="136" t="s">
        <v>29</v>
      </c>
      <c r="C23" s="54" t="s">
        <v>28</v>
      </c>
      <c r="D23" s="86">
        <f>18000.67+D7</f>
        <v>20451.589999999997</v>
      </c>
      <c r="E23" s="86">
        <f>Tabela83[[#This Row],[Coluna1]]*Tabela83[[#Headers],[70]]</f>
        <v>16268.310227272725</v>
      </c>
      <c r="F23" s="145">
        <f>Tabela83[[#This Row],[Coluna1]]*Tabela83[[#Headers],[56]]</f>
        <v>13014.64818181818</v>
      </c>
      <c r="G23" s="86">
        <f>Tabela83[[#This Row],[Coluna1]]*Tabela83[[#Headers],[44]]</f>
        <v>10225.794999999998</v>
      </c>
      <c r="H23" s="86">
        <f>Tabela83[[#This Row],[Coluna1]]*Tabela83[[#Headers],[42]]</f>
        <v>9760.9861363636355</v>
      </c>
      <c r="I23" s="86">
        <f>Tabela83[[#This Row],[Coluna1]]*Tabela83[[#Headers],[28]]</f>
        <v>6507.32409090909</v>
      </c>
      <c r="J23" s="86">
        <f>Tabela83[[#This Row],[Coluna1]]*Tabela83[[#Headers],[14]]</f>
        <v>3253.662045454545</v>
      </c>
      <c r="K23" s="142">
        <f>Tabela83[[#This Row],[Coluna1]]*Tabela83[[#Headers],[4]]</f>
        <v>929.61772727272717</v>
      </c>
      <c r="L23" s="198">
        <f>Tabela83[[#This Row],[88]]/Tabela83[[#Headers],[88]]</f>
        <v>232.40443181818179</v>
      </c>
      <c r="M23" s="162">
        <v>17916.86</v>
      </c>
      <c r="N23" s="132">
        <v>33389.15</v>
      </c>
      <c r="O23" s="169">
        <f>N23+Tabela83[[#This Row],[88]]</f>
        <v>53840.74</v>
      </c>
    </row>
    <row r="24" spans="2:15" ht="15.5" x14ac:dyDescent="0.35">
      <c r="B24" s="134" t="s">
        <v>27</v>
      </c>
      <c r="C24" s="51" t="s">
        <v>26</v>
      </c>
      <c r="D24" s="84">
        <v>0</v>
      </c>
      <c r="E24" s="84">
        <v>0</v>
      </c>
      <c r="F24" s="84">
        <v>0</v>
      </c>
      <c r="G24" s="84">
        <f>Tabela83[[#This Row],[Coluna1]]*Tabela83[[#Headers],[44]]</f>
        <v>11000</v>
      </c>
      <c r="H24" s="84">
        <f>Tabela83[[#This Row],[Coluna1]]*Tabela83[[#Headers],[42]]</f>
        <v>10500</v>
      </c>
      <c r="I24" s="84">
        <f>Tabela83[[#This Row],[Coluna1]]*Tabela83[[#Headers],[28]]</f>
        <v>7000</v>
      </c>
      <c r="J24" s="84">
        <f>Tabela83[[#This Row],[Coluna1]]*Tabela83[[#Headers],[14]]</f>
        <v>3500</v>
      </c>
      <c r="K24" s="140">
        <f>Tabela83[[#This Row],[Coluna1]]*Tabela83[[#Headers],[4]]</f>
        <v>1000</v>
      </c>
      <c r="L24" s="171">
        <v>250</v>
      </c>
      <c r="M24" s="164">
        <v>23055.439999999999</v>
      </c>
      <c r="N24" s="129">
        <v>53054.559999999998</v>
      </c>
      <c r="O24" s="170">
        <f>N24+Tabela83[[#This Row],[44]]</f>
        <v>64054.559999999998</v>
      </c>
    </row>
    <row r="25" spans="2:15" ht="15.5" x14ac:dyDescent="0.35">
      <c r="B25" s="137" t="s">
        <v>115</v>
      </c>
      <c r="C25" s="46" t="s">
        <v>25</v>
      </c>
      <c r="D25" s="85">
        <v>0</v>
      </c>
      <c r="E25" s="85">
        <v>0</v>
      </c>
      <c r="F25" s="85">
        <v>0</v>
      </c>
      <c r="G25" s="85">
        <v>0</v>
      </c>
      <c r="H25" s="85">
        <f>Tabela83[[#This Row],[Coluna1]]*Tabela83[[#Headers],[42]]</f>
        <v>11340</v>
      </c>
      <c r="I25" s="85">
        <f>Tabela83[[#This Row],[Coluna1]]*Tabela83[[#Headers],[28]]</f>
        <v>7560</v>
      </c>
      <c r="J25" s="85">
        <f>Tabela83[[#This Row],[Coluna1]]*Tabela83[[#Headers],[14]]</f>
        <v>3780</v>
      </c>
      <c r="K25" s="141">
        <f>Tabela83[[#This Row],[Coluna1]]*Tabela83[[#Headers],[4]]</f>
        <v>1080</v>
      </c>
      <c r="L25" s="172">
        <v>270</v>
      </c>
      <c r="M25" s="165"/>
      <c r="N25" s="130"/>
      <c r="O25" s="168">
        <f>M25+Tabela83[[#This Row],[88]]</f>
        <v>0</v>
      </c>
    </row>
    <row r="26" spans="2:15" ht="15.5" x14ac:dyDescent="0.35">
      <c r="B26" s="135" t="s">
        <v>83</v>
      </c>
      <c r="C26" s="46" t="s">
        <v>24</v>
      </c>
      <c r="D26" s="85">
        <v>0</v>
      </c>
      <c r="E26" s="85">
        <v>0</v>
      </c>
      <c r="F26" s="85">
        <v>0</v>
      </c>
      <c r="G26" s="85">
        <v>0</v>
      </c>
      <c r="H26" s="85">
        <f>Tabela83[[#This Row],[Coluna1]]*Tabela83[[#Headers],[42]]</f>
        <v>11760</v>
      </c>
      <c r="I26" s="85">
        <f>Tabela83[[#This Row],[Coluna1]]*Tabela83[[#Headers],[28]]</f>
        <v>7840</v>
      </c>
      <c r="J26" s="85">
        <f>Tabela83[[#This Row],[Coluna1]]*Tabela83[[#Headers],[14]]</f>
        <v>3920</v>
      </c>
      <c r="K26" s="141">
        <f>Tabela83[[#This Row],[Coluna1]]*Tabela83[[#Headers],[4]]</f>
        <v>1120</v>
      </c>
      <c r="L26" s="172">
        <v>280</v>
      </c>
      <c r="M26" s="165">
        <v>26406.52</v>
      </c>
      <c r="N26" s="130">
        <v>42448.26</v>
      </c>
      <c r="O26" s="168">
        <f>N26+Tabela83[[#This Row],[42]]</f>
        <v>54208.26</v>
      </c>
    </row>
    <row r="27" spans="2:15" ht="16" thickBot="1" x14ac:dyDescent="0.4">
      <c r="B27" s="138" t="s">
        <v>116</v>
      </c>
      <c r="C27" s="41" t="s">
        <v>23</v>
      </c>
      <c r="D27" s="146">
        <v>0</v>
      </c>
      <c r="E27" s="146">
        <v>0</v>
      </c>
      <c r="F27" s="146">
        <v>0</v>
      </c>
      <c r="G27" s="146">
        <v>0</v>
      </c>
      <c r="H27" s="146">
        <f>Tabela83[[#This Row],[Coluna1]]*Tabela83[[#Headers],[42]]</f>
        <v>12600</v>
      </c>
      <c r="I27" s="146">
        <f>Tabela83[[#This Row],[Coluna1]]*Tabela83[[#Headers],[28]]</f>
        <v>8400</v>
      </c>
      <c r="J27" s="146">
        <f>Tabela83[[#This Row],[Coluna1]]*Tabela83[[#Headers],[14]]</f>
        <v>4200</v>
      </c>
      <c r="K27" s="147">
        <f>Tabela83[[#This Row],[Coluna1]]*Tabela83[[#Headers],[4]]</f>
        <v>1200</v>
      </c>
      <c r="L27" s="173">
        <v>300</v>
      </c>
      <c r="M27" s="166"/>
      <c r="N27" s="131"/>
      <c r="O27" s="174">
        <f>M27+Tabela83[[#This Row],[88]]</f>
        <v>0</v>
      </c>
    </row>
    <row r="28" spans="2:15" ht="15" thickBot="1" x14ac:dyDescent="0.4"/>
    <row r="29" spans="2:15" s="3" customFormat="1" ht="15" thickBot="1" x14ac:dyDescent="0.4">
      <c r="B29" s="225" t="s">
        <v>9</v>
      </c>
      <c r="C29" s="210" t="s">
        <v>8</v>
      </c>
      <c r="D29" s="211"/>
      <c r="E29" s="211"/>
      <c r="F29" s="211"/>
      <c r="G29" s="211"/>
      <c r="H29" s="211"/>
      <c r="I29" s="211"/>
      <c r="J29" s="211"/>
      <c r="K29" s="233"/>
      <c r="L29" s="234" t="s">
        <v>7</v>
      </c>
      <c r="M29" s="239" t="s">
        <v>117</v>
      </c>
      <c r="N29" s="236"/>
      <c r="O29" s="241" t="s">
        <v>118</v>
      </c>
    </row>
    <row r="30" spans="2:15" s="3" customFormat="1" ht="15" thickBot="1" x14ac:dyDescent="0.4">
      <c r="B30" s="217"/>
      <c r="C30" s="12" t="s">
        <v>6</v>
      </c>
      <c r="D30" s="11">
        <v>88</v>
      </c>
      <c r="E30" s="11">
        <v>70</v>
      </c>
      <c r="F30" s="11">
        <v>56</v>
      </c>
      <c r="G30" s="11">
        <v>44</v>
      </c>
      <c r="H30" s="11">
        <v>42</v>
      </c>
      <c r="I30" s="11">
        <v>28</v>
      </c>
      <c r="J30" s="11">
        <v>14</v>
      </c>
      <c r="K30" s="10">
        <v>4</v>
      </c>
      <c r="L30" s="220"/>
      <c r="M30" s="240"/>
      <c r="N30" s="238"/>
      <c r="O30" s="242"/>
    </row>
    <row r="31" spans="2:15" s="3" customFormat="1" ht="15.5" x14ac:dyDescent="0.35">
      <c r="B31" s="9" t="s">
        <v>0</v>
      </c>
      <c r="C31" s="163" t="s">
        <v>70</v>
      </c>
      <c r="D31" s="70">
        <v>3070.45</v>
      </c>
      <c r="E31" s="70">
        <f t="shared" ref="E31:E40" si="0">L31*$E$30</f>
        <v>2442.403409090909</v>
      </c>
      <c r="F31" s="70">
        <f t="shared" ref="F31:F40" si="1">L31*$F$30</f>
        <v>1953.9227272727271</v>
      </c>
      <c r="G31" s="70">
        <f t="shared" ref="G31:G40" si="2">L31*$G$30</f>
        <v>1535.2249999999999</v>
      </c>
      <c r="H31" s="70">
        <f t="shared" ref="H31:H40" si="3">L31*$H$30</f>
        <v>1465.4420454545455</v>
      </c>
      <c r="I31" s="70">
        <f t="shared" ref="I31:I40" si="4">L31*$I$30</f>
        <v>976.96136363636356</v>
      </c>
      <c r="J31" s="70">
        <f t="shared" ref="J31:J40" si="5">L31*$J$30</f>
        <v>488.48068181818178</v>
      </c>
      <c r="K31" s="70">
        <f t="shared" ref="K31:K40" si="6">L31*$K$30</f>
        <v>139.56590909090909</v>
      </c>
      <c r="L31" s="194">
        <f>D31/$D$30</f>
        <v>34.891477272727272</v>
      </c>
      <c r="M31" s="191">
        <v>2426.79</v>
      </c>
      <c r="N31" s="189">
        <v>4973.13</v>
      </c>
      <c r="O31" s="118">
        <f>N31+D31</f>
        <v>8043.58</v>
      </c>
    </row>
    <row r="32" spans="2:15" s="3" customFormat="1" ht="15.5" x14ac:dyDescent="0.35">
      <c r="B32" s="6" t="s">
        <v>112</v>
      </c>
      <c r="C32" s="8" t="s">
        <v>114</v>
      </c>
      <c r="D32" s="71">
        <v>3837</v>
      </c>
      <c r="E32" s="71">
        <f t="shared" si="0"/>
        <v>2800</v>
      </c>
      <c r="F32" s="71">
        <f t="shared" si="1"/>
        <v>2240</v>
      </c>
      <c r="G32" s="71">
        <f t="shared" si="2"/>
        <v>1760</v>
      </c>
      <c r="H32" s="71">
        <f t="shared" si="3"/>
        <v>1680</v>
      </c>
      <c r="I32" s="71">
        <f t="shared" si="4"/>
        <v>1120</v>
      </c>
      <c r="J32" s="71">
        <f t="shared" si="5"/>
        <v>560</v>
      </c>
      <c r="K32" s="71">
        <f t="shared" si="6"/>
        <v>160</v>
      </c>
      <c r="L32" s="195">
        <v>40</v>
      </c>
      <c r="M32" s="192">
        <v>3837.78</v>
      </c>
      <c r="N32" s="188">
        <v>6970.06</v>
      </c>
      <c r="O32" s="119">
        <f>N32+D32</f>
        <v>10807.060000000001</v>
      </c>
    </row>
    <row r="33" spans="2:15" s="3" customFormat="1" ht="15.5" x14ac:dyDescent="0.35">
      <c r="B33" s="6" t="s">
        <v>5</v>
      </c>
      <c r="C33" s="8" t="s">
        <v>72</v>
      </c>
      <c r="D33" s="71">
        <v>4073</v>
      </c>
      <c r="E33" s="71">
        <f t="shared" si="0"/>
        <v>3239.8863636363635</v>
      </c>
      <c r="F33" s="71">
        <f t="shared" si="1"/>
        <v>2591.909090909091</v>
      </c>
      <c r="G33" s="71">
        <f t="shared" si="2"/>
        <v>2036.5</v>
      </c>
      <c r="H33" s="71">
        <f t="shared" si="3"/>
        <v>1943.931818181818</v>
      </c>
      <c r="I33" s="71">
        <f t="shared" si="4"/>
        <v>1295.9545454545455</v>
      </c>
      <c r="J33" s="71">
        <f t="shared" si="5"/>
        <v>647.97727272727275</v>
      </c>
      <c r="K33" s="71">
        <f t="shared" si="6"/>
        <v>185.13636363636363</v>
      </c>
      <c r="L33" s="195">
        <f t="shared" ref="L33:L40" si="7">D33/$D$30</f>
        <v>46.284090909090907</v>
      </c>
      <c r="M33" s="192">
        <v>4073.23</v>
      </c>
      <c r="N33" s="188">
        <v>4073.23</v>
      </c>
      <c r="O33" s="119">
        <f t="shared" ref="O33:O40" si="8">N33+D33</f>
        <v>8146.23</v>
      </c>
    </row>
    <row r="34" spans="2:15" s="3" customFormat="1" ht="15.5" x14ac:dyDescent="0.35">
      <c r="B34" s="6" t="s">
        <v>4</v>
      </c>
      <c r="C34" s="8" t="s">
        <v>71</v>
      </c>
      <c r="D34" s="71">
        <v>4000</v>
      </c>
      <c r="E34" s="71">
        <f t="shared" si="0"/>
        <v>3181.8181818181815</v>
      </c>
      <c r="F34" s="71">
        <f t="shared" si="1"/>
        <v>2545.4545454545455</v>
      </c>
      <c r="G34" s="71">
        <f t="shared" si="2"/>
        <v>2000</v>
      </c>
      <c r="H34" s="71">
        <f t="shared" si="3"/>
        <v>1909.090909090909</v>
      </c>
      <c r="I34" s="71">
        <f t="shared" si="4"/>
        <v>1272.7272727272727</v>
      </c>
      <c r="J34" s="71">
        <f t="shared" si="5"/>
        <v>636.36363636363637</v>
      </c>
      <c r="K34" s="71">
        <f t="shared" si="6"/>
        <v>181.81818181818181</v>
      </c>
      <c r="L34" s="195">
        <f t="shared" si="7"/>
        <v>45.454545454545453</v>
      </c>
      <c r="M34" s="192">
        <v>4000</v>
      </c>
      <c r="N34" s="188">
        <v>5863</v>
      </c>
      <c r="O34" s="119">
        <f t="shared" si="8"/>
        <v>9863</v>
      </c>
    </row>
    <row r="35" spans="2:15" s="3" customFormat="1" ht="15.5" x14ac:dyDescent="0.35">
      <c r="B35" s="6" t="s">
        <v>3</v>
      </c>
      <c r="C35" s="8" t="s">
        <v>73</v>
      </c>
      <c r="D35" s="71">
        <v>3000</v>
      </c>
      <c r="E35" s="71">
        <f t="shared" si="0"/>
        <v>2386.3636363636365</v>
      </c>
      <c r="F35" s="71">
        <f t="shared" si="1"/>
        <v>1909.0909090909092</v>
      </c>
      <c r="G35" s="71">
        <f t="shared" si="2"/>
        <v>1500</v>
      </c>
      <c r="H35" s="71">
        <f t="shared" si="3"/>
        <v>1431.818181818182</v>
      </c>
      <c r="I35" s="71">
        <f t="shared" si="4"/>
        <v>954.54545454545462</v>
      </c>
      <c r="J35" s="71">
        <f t="shared" si="5"/>
        <v>477.27272727272731</v>
      </c>
      <c r="K35" s="71">
        <f t="shared" si="6"/>
        <v>136.36363636363637</v>
      </c>
      <c r="L35" s="195">
        <f t="shared" si="7"/>
        <v>34.090909090909093</v>
      </c>
      <c r="M35" s="192">
        <v>3000</v>
      </c>
      <c r="N35" s="188">
        <v>4083.33</v>
      </c>
      <c r="O35" s="119">
        <f t="shared" si="8"/>
        <v>7083.33</v>
      </c>
    </row>
    <row r="36" spans="2:15" s="3" customFormat="1" ht="15.5" x14ac:dyDescent="0.35">
      <c r="B36" s="6" t="s">
        <v>2</v>
      </c>
      <c r="C36" s="8" t="s">
        <v>74</v>
      </c>
      <c r="D36" s="71">
        <v>2000</v>
      </c>
      <c r="E36" s="71">
        <f t="shared" si="0"/>
        <v>1590.9090909090908</v>
      </c>
      <c r="F36" s="71">
        <f t="shared" si="1"/>
        <v>1272.7272727272727</v>
      </c>
      <c r="G36" s="71">
        <f t="shared" si="2"/>
        <v>1000</v>
      </c>
      <c r="H36" s="71">
        <f t="shared" si="3"/>
        <v>954.5454545454545</v>
      </c>
      <c r="I36" s="71">
        <f t="shared" si="4"/>
        <v>636.36363636363637</v>
      </c>
      <c r="J36" s="71">
        <f t="shared" si="5"/>
        <v>318.18181818181819</v>
      </c>
      <c r="K36" s="71">
        <f t="shared" si="6"/>
        <v>90.909090909090907</v>
      </c>
      <c r="L36" s="195">
        <f t="shared" si="7"/>
        <v>22.727272727272727</v>
      </c>
      <c r="M36" s="192">
        <v>2000</v>
      </c>
      <c r="N36" s="188">
        <v>6500</v>
      </c>
      <c r="O36" s="119">
        <f t="shared" si="8"/>
        <v>8500</v>
      </c>
    </row>
    <row r="37" spans="2:15" s="3" customFormat="1" ht="15.5" x14ac:dyDescent="0.35">
      <c r="B37" s="6" t="s">
        <v>113</v>
      </c>
      <c r="C37" s="8" t="s">
        <v>119</v>
      </c>
      <c r="D37" s="71">
        <v>1500</v>
      </c>
      <c r="E37" s="71">
        <f t="shared" si="0"/>
        <v>1193.1818181818182</v>
      </c>
      <c r="F37" s="71">
        <f t="shared" si="1"/>
        <v>954.54545454545462</v>
      </c>
      <c r="G37" s="71">
        <f t="shared" si="2"/>
        <v>750</v>
      </c>
      <c r="H37" s="71">
        <f t="shared" si="3"/>
        <v>715.90909090909099</v>
      </c>
      <c r="I37" s="71">
        <f t="shared" si="4"/>
        <v>477.27272727272731</v>
      </c>
      <c r="J37" s="71">
        <f t="shared" si="5"/>
        <v>238.63636363636365</v>
      </c>
      <c r="K37" s="71">
        <f t="shared" si="6"/>
        <v>68.181818181818187</v>
      </c>
      <c r="L37" s="195">
        <f t="shared" si="7"/>
        <v>17.045454545454547</v>
      </c>
      <c r="M37" s="192">
        <v>1500</v>
      </c>
      <c r="N37" s="188">
        <v>3363</v>
      </c>
      <c r="O37" s="119">
        <f t="shared" si="8"/>
        <v>4863</v>
      </c>
    </row>
    <row r="38" spans="2:15" s="3" customFormat="1" ht="15.5" x14ac:dyDescent="0.35">
      <c r="B38" s="6" t="s">
        <v>69</v>
      </c>
      <c r="C38" s="7" t="s">
        <v>75</v>
      </c>
      <c r="D38" s="71">
        <f>M38</f>
        <v>11497.62</v>
      </c>
      <c r="E38" s="71">
        <f t="shared" si="0"/>
        <v>9145.8340909090912</v>
      </c>
      <c r="F38" s="71">
        <f t="shared" si="1"/>
        <v>7316.6672727272726</v>
      </c>
      <c r="G38" s="71">
        <f t="shared" si="2"/>
        <v>5748.81</v>
      </c>
      <c r="H38" s="71">
        <f t="shared" si="3"/>
        <v>5487.5004545454549</v>
      </c>
      <c r="I38" s="71">
        <f t="shared" si="4"/>
        <v>3658.3336363636363</v>
      </c>
      <c r="J38" s="71">
        <f t="shared" si="5"/>
        <v>1829.1668181818181</v>
      </c>
      <c r="K38" s="71">
        <f t="shared" si="6"/>
        <v>522.61909090909091</v>
      </c>
      <c r="L38" s="195">
        <f t="shared" si="7"/>
        <v>130.65477272727273</v>
      </c>
      <c r="M38" s="192">
        <v>11497.62</v>
      </c>
      <c r="N38" s="188">
        <v>15771.17</v>
      </c>
      <c r="O38" s="119">
        <f t="shared" si="8"/>
        <v>27268.79</v>
      </c>
    </row>
    <row r="39" spans="2:15" s="3" customFormat="1" ht="15.5" x14ac:dyDescent="0.35">
      <c r="B39" s="6" t="s">
        <v>67</v>
      </c>
      <c r="C39" s="7" t="s">
        <v>76</v>
      </c>
      <c r="D39" s="71">
        <f>M39</f>
        <v>12459.52</v>
      </c>
      <c r="E39" s="71">
        <f t="shared" si="0"/>
        <v>9910.9818181818191</v>
      </c>
      <c r="F39" s="71">
        <f t="shared" si="1"/>
        <v>7928.7854545454547</v>
      </c>
      <c r="G39" s="71">
        <f t="shared" si="2"/>
        <v>6229.76</v>
      </c>
      <c r="H39" s="71">
        <f t="shared" si="3"/>
        <v>5946.5890909090913</v>
      </c>
      <c r="I39" s="71">
        <f t="shared" si="4"/>
        <v>3964.3927272727274</v>
      </c>
      <c r="J39" s="71">
        <f t="shared" si="5"/>
        <v>1982.1963636363637</v>
      </c>
      <c r="K39" s="71">
        <f t="shared" si="6"/>
        <v>566.34181818181821</v>
      </c>
      <c r="L39" s="195">
        <f t="shared" si="7"/>
        <v>141.58545454545455</v>
      </c>
      <c r="M39" s="192">
        <v>12459.52</v>
      </c>
      <c r="N39" s="188">
        <v>20424.560000000001</v>
      </c>
      <c r="O39" s="119">
        <f t="shared" si="8"/>
        <v>32884.080000000002</v>
      </c>
    </row>
    <row r="40" spans="2:15" s="3" customFormat="1" ht="16" thickBot="1" x14ac:dyDescent="0.4">
      <c r="B40" s="5" t="s">
        <v>68</v>
      </c>
      <c r="C40" s="73" t="s">
        <v>77</v>
      </c>
      <c r="D40" s="72">
        <f>M40</f>
        <v>18198.23</v>
      </c>
      <c r="E40" s="72">
        <f t="shared" si="0"/>
        <v>14475.864772727271</v>
      </c>
      <c r="F40" s="72">
        <f t="shared" si="1"/>
        <v>11580.691818181818</v>
      </c>
      <c r="G40" s="72">
        <f t="shared" si="2"/>
        <v>9099.1149999999998</v>
      </c>
      <c r="H40" s="72">
        <f t="shared" si="3"/>
        <v>8685.5188636363637</v>
      </c>
      <c r="I40" s="72">
        <f t="shared" si="4"/>
        <v>5790.3459090909091</v>
      </c>
      <c r="J40" s="72">
        <f t="shared" si="5"/>
        <v>2895.1729545454546</v>
      </c>
      <c r="K40" s="72">
        <f t="shared" si="6"/>
        <v>827.19227272727267</v>
      </c>
      <c r="L40" s="196">
        <f t="shared" si="7"/>
        <v>206.79806818181817</v>
      </c>
      <c r="M40" s="193">
        <v>18198.23</v>
      </c>
      <c r="N40" s="190">
        <v>26645.67</v>
      </c>
      <c r="O40" s="120">
        <f t="shared" si="8"/>
        <v>44843.899999999994</v>
      </c>
    </row>
    <row r="41" spans="2:15" s="3" customFormat="1" ht="15.5" x14ac:dyDescent="0.35">
      <c r="B41" s="1"/>
      <c r="C41" s="58"/>
      <c r="D41" s="200"/>
      <c r="E41" s="200"/>
      <c r="F41" s="200"/>
      <c r="G41" s="200"/>
      <c r="H41" s="200"/>
      <c r="I41" s="200"/>
      <c r="J41" s="200"/>
      <c r="K41" s="200"/>
      <c r="L41" s="201"/>
      <c r="M41" s="128"/>
      <c r="N41" s="128"/>
      <c r="O41" s="128"/>
    </row>
    <row r="42" spans="2:15" s="3" customFormat="1" ht="31.5" customHeight="1" x14ac:dyDescent="0.35">
      <c r="B42" s="230" t="s">
        <v>130</v>
      </c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128"/>
      <c r="N42" s="128"/>
      <c r="O42" s="128"/>
    </row>
    <row r="43" spans="2:15" s="3" customFormat="1" ht="15" thickBot="1" x14ac:dyDescent="0.4">
      <c r="B43" s="202"/>
      <c r="C43" s="202"/>
      <c r="D43" s="203"/>
      <c r="E43" s="203"/>
      <c r="F43" s="203"/>
      <c r="G43" s="203"/>
      <c r="H43" s="203"/>
      <c r="I43" s="203"/>
      <c r="J43" s="4"/>
      <c r="K43" s="4"/>
      <c r="M43" s="128"/>
    </row>
    <row r="44" spans="2:15" s="3" customFormat="1" ht="15" thickBot="1" x14ac:dyDescent="0.4">
      <c r="B44" s="227" t="s">
        <v>6</v>
      </c>
      <c r="C44" s="211" t="s">
        <v>22</v>
      </c>
      <c r="D44" s="211"/>
      <c r="E44" s="211"/>
      <c r="F44" s="211"/>
      <c r="G44" s="211"/>
      <c r="H44" s="211"/>
      <c r="I44" s="211"/>
      <c r="J44" s="211"/>
      <c r="K44" s="212"/>
      <c r="L44" s="219" t="s">
        <v>7</v>
      </c>
      <c r="M44" s="128"/>
    </row>
    <row r="45" spans="2:15" s="3" customFormat="1" ht="15" thickBot="1" x14ac:dyDescent="0.4">
      <c r="B45" s="228"/>
      <c r="C45" s="179" t="s">
        <v>21</v>
      </c>
      <c r="D45" s="11">
        <v>88</v>
      </c>
      <c r="E45" s="11">
        <v>70</v>
      </c>
      <c r="F45" s="11">
        <v>56</v>
      </c>
      <c r="G45" s="11">
        <v>44</v>
      </c>
      <c r="H45" s="11">
        <v>42</v>
      </c>
      <c r="I45" s="11">
        <v>28</v>
      </c>
      <c r="J45" s="11">
        <v>14</v>
      </c>
      <c r="K45" s="10">
        <v>4</v>
      </c>
      <c r="L45" s="220"/>
      <c r="M45" s="128"/>
    </row>
    <row r="46" spans="2:15" s="3" customFormat="1" ht="15" thickBot="1" x14ac:dyDescent="0.4">
      <c r="B46" s="187" t="s">
        <v>20</v>
      </c>
      <c r="C46" s="175" t="s">
        <v>123</v>
      </c>
      <c r="D46" s="34">
        <f t="shared" ref="D46:D56" si="9">L46*$D$45</f>
        <v>14960</v>
      </c>
      <c r="E46" s="34">
        <f t="shared" ref="E46:E56" si="10">L46*$E$45</f>
        <v>11900</v>
      </c>
      <c r="F46" s="34">
        <f t="shared" ref="F46:F56" si="11">L46*$F$45</f>
        <v>9520</v>
      </c>
      <c r="G46" s="34">
        <f t="shared" ref="G46:G56" si="12">L46*$G$45</f>
        <v>7480</v>
      </c>
      <c r="H46" s="34">
        <f t="shared" ref="H46:H56" si="13">L46*$H$45</f>
        <v>7140</v>
      </c>
      <c r="I46" s="34">
        <f t="shared" ref="I46:I56" si="14">L46*$I$45</f>
        <v>4760</v>
      </c>
      <c r="J46" s="34">
        <f t="shared" ref="J46:J56" si="15">L46*$J$45</f>
        <v>2380</v>
      </c>
      <c r="K46" s="34">
        <f t="shared" ref="K46:K56" si="16">L46*$K$45</f>
        <v>680</v>
      </c>
      <c r="L46" s="33">
        <v>170</v>
      </c>
      <c r="M46" s="128"/>
    </row>
    <row r="47" spans="2:15" s="3" customFormat="1" x14ac:dyDescent="0.35">
      <c r="B47" s="199" t="s">
        <v>129</v>
      </c>
      <c r="C47" s="176" t="s">
        <v>124</v>
      </c>
      <c r="D47" s="24">
        <f t="shared" si="9"/>
        <v>13200</v>
      </c>
      <c r="E47" s="24">
        <f t="shared" si="10"/>
        <v>10500</v>
      </c>
      <c r="F47" s="24">
        <f t="shared" si="11"/>
        <v>8400</v>
      </c>
      <c r="G47" s="24">
        <f t="shared" si="12"/>
        <v>6600</v>
      </c>
      <c r="H47" s="24">
        <f t="shared" si="13"/>
        <v>6300</v>
      </c>
      <c r="I47" s="34">
        <f t="shared" si="14"/>
        <v>4200</v>
      </c>
      <c r="J47" s="34">
        <f t="shared" si="15"/>
        <v>2100</v>
      </c>
      <c r="K47" s="34">
        <f t="shared" si="16"/>
        <v>600</v>
      </c>
      <c r="L47" s="23">
        <v>150</v>
      </c>
      <c r="M47" s="128"/>
    </row>
    <row r="48" spans="2:15" ht="15" thickBot="1" x14ac:dyDescent="0.4">
      <c r="B48" s="181" t="s">
        <v>128</v>
      </c>
      <c r="C48" s="178" t="s">
        <v>124</v>
      </c>
      <c r="D48" s="14">
        <f t="shared" si="9"/>
        <v>12320</v>
      </c>
      <c r="E48" s="14">
        <f t="shared" si="10"/>
        <v>9800</v>
      </c>
      <c r="F48" s="14">
        <f t="shared" si="11"/>
        <v>7840</v>
      </c>
      <c r="G48" s="14">
        <f t="shared" si="12"/>
        <v>6160</v>
      </c>
      <c r="H48" s="14">
        <f t="shared" si="13"/>
        <v>5880</v>
      </c>
      <c r="I48" s="14">
        <f t="shared" si="14"/>
        <v>3920</v>
      </c>
      <c r="J48" s="14">
        <f t="shared" si="15"/>
        <v>1960</v>
      </c>
      <c r="K48" s="14">
        <f t="shared" si="16"/>
        <v>560</v>
      </c>
      <c r="L48" s="13">
        <v>140</v>
      </c>
    </row>
    <row r="49" spans="2:12" x14ac:dyDescent="0.35">
      <c r="B49" s="183" t="s">
        <v>127</v>
      </c>
      <c r="C49" s="184" t="s">
        <v>122</v>
      </c>
      <c r="D49" s="185">
        <f t="shared" si="9"/>
        <v>11440</v>
      </c>
      <c r="E49" s="185">
        <f t="shared" si="10"/>
        <v>9100</v>
      </c>
      <c r="F49" s="185">
        <f t="shared" si="11"/>
        <v>7280</v>
      </c>
      <c r="G49" s="185">
        <f t="shared" si="12"/>
        <v>5720</v>
      </c>
      <c r="H49" s="185">
        <f t="shared" si="13"/>
        <v>5460</v>
      </c>
      <c r="I49" s="185">
        <f t="shared" si="14"/>
        <v>3640</v>
      </c>
      <c r="J49" s="185">
        <f t="shared" si="15"/>
        <v>1820</v>
      </c>
      <c r="K49" s="185">
        <f t="shared" si="16"/>
        <v>520</v>
      </c>
      <c r="L49" s="186">
        <v>130</v>
      </c>
    </row>
    <row r="50" spans="2:12" x14ac:dyDescent="0.35">
      <c r="B50" s="180" t="s">
        <v>126</v>
      </c>
      <c r="C50" s="177" t="s">
        <v>122</v>
      </c>
      <c r="D50" s="19">
        <f t="shared" si="9"/>
        <v>10560</v>
      </c>
      <c r="E50" s="19">
        <f t="shared" si="10"/>
        <v>8400</v>
      </c>
      <c r="F50" s="19">
        <f t="shared" si="11"/>
        <v>6720</v>
      </c>
      <c r="G50" s="19">
        <f t="shared" si="12"/>
        <v>5280</v>
      </c>
      <c r="H50" s="19">
        <f t="shared" si="13"/>
        <v>5040</v>
      </c>
      <c r="I50" s="19">
        <f t="shared" si="14"/>
        <v>3360</v>
      </c>
      <c r="J50" s="19">
        <f t="shared" si="15"/>
        <v>1680</v>
      </c>
      <c r="K50" s="19">
        <f t="shared" si="16"/>
        <v>480</v>
      </c>
      <c r="L50" s="18">
        <v>120</v>
      </c>
    </row>
    <row r="51" spans="2:12" ht="15" thickBot="1" x14ac:dyDescent="0.4">
      <c r="B51" s="182" t="s">
        <v>125</v>
      </c>
      <c r="C51" s="178" t="s">
        <v>122</v>
      </c>
      <c r="D51" s="14">
        <f t="shared" si="9"/>
        <v>9768</v>
      </c>
      <c r="E51" s="14">
        <f t="shared" si="10"/>
        <v>7770</v>
      </c>
      <c r="F51" s="14">
        <f t="shared" si="11"/>
        <v>6216</v>
      </c>
      <c r="G51" s="14">
        <f t="shared" si="12"/>
        <v>4884</v>
      </c>
      <c r="H51" s="14">
        <f t="shared" si="13"/>
        <v>4662</v>
      </c>
      <c r="I51" s="14">
        <f t="shared" si="14"/>
        <v>3108</v>
      </c>
      <c r="J51" s="14">
        <f t="shared" si="15"/>
        <v>1554</v>
      </c>
      <c r="K51" s="14">
        <f t="shared" si="16"/>
        <v>444</v>
      </c>
      <c r="L51" s="13">
        <v>111</v>
      </c>
    </row>
    <row r="52" spans="2:12" x14ac:dyDescent="0.35">
      <c r="B52" s="199" t="s">
        <v>107</v>
      </c>
      <c r="C52" s="184" t="s">
        <v>14</v>
      </c>
      <c r="D52" s="185">
        <f t="shared" si="9"/>
        <v>7920</v>
      </c>
      <c r="E52" s="185">
        <f t="shared" si="10"/>
        <v>6300</v>
      </c>
      <c r="F52" s="185">
        <f t="shared" si="11"/>
        <v>5040</v>
      </c>
      <c r="G52" s="185">
        <f t="shared" si="12"/>
        <v>3960</v>
      </c>
      <c r="H52" s="185">
        <f t="shared" si="13"/>
        <v>3780</v>
      </c>
      <c r="I52" s="185">
        <f t="shared" si="14"/>
        <v>2520</v>
      </c>
      <c r="J52" s="185">
        <f t="shared" si="15"/>
        <v>1260</v>
      </c>
      <c r="K52" s="185">
        <f t="shared" si="16"/>
        <v>360</v>
      </c>
      <c r="L52" s="186">
        <v>90</v>
      </c>
    </row>
    <row r="53" spans="2:12" x14ac:dyDescent="0.35">
      <c r="B53" s="180" t="s">
        <v>13</v>
      </c>
      <c r="C53" s="177" t="s">
        <v>13</v>
      </c>
      <c r="D53" s="19">
        <f t="shared" si="9"/>
        <v>7040</v>
      </c>
      <c r="E53" s="19">
        <f t="shared" si="10"/>
        <v>5600</v>
      </c>
      <c r="F53" s="19">
        <f t="shared" si="11"/>
        <v>4480</v>
      </c>
      <c r="G53" s="19">
        <f t="shared" si="12"/>
        <v>3520</v>
      </c>
      <c r="H53" s="19">
        <f t="shared" si="13"/>
        <v>3360</v>
      </c>
      <c r="I53" s="19">
        <f t="shared" si="14"/>
        <v>2240</v>
      </c>
      <c r="J53" s="19">
        <f t="shared" si="15"/>
        <v>1120</v>
      </c>
      <c r="K53" s="19">
        <f t="shared" si="16"/>
        <v>320</v>
      </c>
      <c r="L53" s="18">
        <v>80</v>
      </c>
    </row>
    <row r="54" spans="2:12" x14ac:dyDescent="0.35">
      <c r="B54" s="180" t="s">
        <v>12</v>
      </c>
      <c r="C54" s="177" t="s">
        <v>12</v>
      </c>
      <c r="D54" s="19">
        <f t="shared" si="9"/>
        <v>6160</v>
      </c>
      <c r="E54" s="19">
        <f t="shared" si="10"/>
        <v>4900</v>
      </c>
      <c r="F54" s="19">
        <f t="shared" si="11"/>
        <v>3920</v>
      </c>
      <c r="G54" s="19">
        <f t="shared" si="12"/>
        <v>3080</v>
      </c>
      <c r="H54" s="19">
        <f t="shared" si="13"/>
        <v>2940</v>
      </c>
      <c r="I54" s="19">
        <f t="shared" si="14"/>
        <v>1960</v>
      </c>
      <c r="J54" s="19">
        <f t="shared" si="15"/>
        <v>980</v>
      </c>
      <c r="K54" s="19">
        <f t="shared" si="16"/>
        <v>280</v>
      </c>
      <c r="L54" s="18">
        <v>70</v>
      </c>
    </row>
    <row r="55" spans="2:12" x14ac:dyDescent="0.35">
      <c r="B55" s="180" t="s">
        <v>11</v>
      </c>
      <c r="C55" s="177" t="s">
        <v>11</v>
      </c>
      <c r="D55" s="19">
        <f t="shared" si="9"/>
        <v>5280</v>
      </c>
      <c r="E55" s="19">
        <f t="shared" si="10"/>
        <v>4200</v>
      </c>
      <c r="F55" s="19">
        <f t="shared" si="11"/>
        <v>3360</v>
      </c>
      <c r="G55" s="19">
        <f t="shared" si="12"/>
        <v>2640</v>
      </c>
      <c r="H55" s="19">
        <f t="shared" si="13"/>
        <v>2520</v>
      </c>
      <c r="I55" s="19">
        <f t="shared" si="14"/>
        <v>1680</v>
      </c>
      <c r="J55" s="19">
        <f t="shared" si="15"/>
        <v>840</v>
      </c>
      <c r="K55" s="19">
        <f t="shared" si="16"/>
        <v>240</v>
      </c>
      <c r="L55" s="18">
        <v>60</v>
      </c>
    </row>
    <row r="56" spans="2:12" ht="15" thickBot="1" x14ac:dyDescent="0.4">
      <c r="B56" s="181" t="s">
        <v>106</v>
      </c>
      <c r="C56" s="178" t="s">
        <v>10</v>
      </c>
      <c r="D56" s="14">
        <f t="shared" si="9"/>
        <v>4400</v>
      </c>
      <c r="E56" s="14">
        <f t="shared" si="10"/>
        <v>3500</v>
      </c>
      <c r="F56" s="14">
        <f t="shared" si="11"/>
        <v>2800</v>
      </c>
      <c r="G56" s="14">
        <f t="shared" si="12"/>
        <v>2200</v>
      </c>
      <c r="H56" s="14">
        <f t="shared" si="13"/>
        <v>2100</v>
      </c>
      <c r="I56" s="14">
        <f t="shared" si="14"/>
        <v>1400</v>
      </c>
      <c r="J56" s="14">
        <f t="shared" si="15"/>
        <v>700</v>
      </c>
      <c r="K56" s="14">
        <f t="shared" si="16"/>
        <v>200</v>
      </c>
      <c r="L56" s="13">
        <v>50</v>
      </c>
    </row>
  </sheetData>
  <mergeCells count="16">
    <mergeCell ref="O9:O10"/>
    <mergeCell ref="B29:B30"/>
    <mergeCell ref="C29:K29"/>
    <mergeCell ref="L29:L30"/>
    <mergeCell ref="B9:K9"/>
    <mergeCell ref="M9:N10"/>
    <mergeCell ref="M29:N30"/>
    <mergeCell ref="O29:O30"/>
    <mergeCell ref="H3:H4"/>
    <mergeCell ref="B44:B45"/>
    <mergeCell ref="C44:K44"/>
    <mergeCell ref="L44:L45"/>
    <mergeCell ref="F6:G6"/>
    <mergeCell ref="F7:G7"/>
    <mergeCell ref="F8:G8"/>
    <mergeCell ref="B42:L4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L56"/>
  <sheetViews>
    <sheetView showGridLines="0" tabSelected="1" topLeftCell="A9" zoomScale="79" zoomScaleNormal="95" workbookViewId="0">
      <selection activeCell="C31" sqref="C31"/>
    </sheetView>
  </sheetViews>
  <sheetFormatPr defaultColWidth="9.453125" defaultRowHeight="14.5" x14ac:dyDescent="0.35"/>
  <cols>
    <col min="1" max="1" width="13.36328125" style="1" customWidth="1"/>
    <col min="2" max="2" width="31.36328125" style="1" customWidth="1"/>
    <col min="3" max="3" width="35.6328125" style="1" customWidth="1"/>
    <col min="4" max="4" width="16.36328125" style="2" hidden="1" customWidth="1"/>
    <col min="5" max="5" width="16.54296875" style="2" hidden="1" customWidth="1"/>
    <col min="6" max="6" width="17.453125" style="2" hidden="1" customWidth="1"/>
    <col min="7" max="7" width="13.7265625" style="2" hidden="1" customWidth="1"/>
    <col min="8" max="8" width="14.26953125" style="2" hidden="1" customWidth="1"/>
    <col min="9" max="10" width="14.36328125" style="2" hidden="1" customWidth="1"/>
    <col min="11" max="11" width="13" style="2" hidden="1" customWidth="1"/>
    <col min="12" max="12" width="11" style="1" customWidth="1"/>
    <col min="13" max="13" width="21" style="1" bestFit="1" customWidth="1"/>
    <col min="14" max="16384" width="9.453125" style="1"/>
  </cols>
  <sheetData>
    <row r="3" spans="2:12" ht="15" customHeight="1" thickBot="1" x14ac:dyDescent="0.4">
      <c r="G3" s="125"/>
      <c r="H3" s="213"/>
    </row>
    <row r="4" spans="2:12" ht="32.25" hidden="1" customHeight="1" x14ac:dyDescent="0.35">
      <c r="D4" s="123" t="s">
        <v>109</v>
      </c>
      <c r="E4" s="123" t="s">
        <v>110</v>
      </c>
      <c r="F4" s="167" t="s">
        <v>111</v>
      </c>
      <c r="G4" s="125"/>
      <c r="H4" s="213"/>
    </row>
    <row r="5" spans="2:12" ht="15" hidden="1" customHeight="1" x14ac:dyDescent="0.45">
      <c r="B5" s="80" t="s">
        <v>79</v>
      </c>
      <c r="C5" s="80"/>
      <c r="D5" s="124">
        <v>41650.92</v>
      </c>
      <c r="E5" s="124">
        <v>44008.52</v>
      </c>
      <c r="F5" s="126">
        <v>46366.19</v>
      </c>
      <c r="G5" s="126"/>
      <c r="H5" s="61"/>
    </row>
    <row r="6" spans="2:12" ht="18.5" hidden="1" x14ac:dyDescent="0.35">
      <c r="B6" s="80" t="s">
        <v>80</v>
      </c>
      <c r="C6" s="80"/>
      <c r="D6" s="82">
        <v>39200</v>
      </c>
      <c r="E6" s="81"/>
      <c r="F6" s="229"/>
      <c r="G6" s="229"/>
      <c r="H6" s="58"/>
    </row>
    <row r="7" spans="2:12" ht="18.5" hidden="1" x14ac:dyDescent="0.35">
      <c r="B7" s="243" t="s">
        <v>134</v>
      </c>
      <c r="C7" s="243"/>
      <c r="D7" s="82">
        <f>D5-D6</f>
        <v>2450.9199999999983</v>
      </c>
      <c r="E7" s="82"/>
      <c r="F7" s="229"/>
      <c r="G7" s="229"/>
      <c r="H7" s="61"/>
    </row>
    <row r="8" spans="2:12" ht="19" hidden="1" thickBot="1" x14ac:dyDescent="0.4">
      <c r="B8" s="205" t="s">
        <v>132</v>
      </c>
      <c r="C8" s="205"/>
      <c r="D8" s="206"/>
      <c r="E8" s="81"/>
      <c r="F8" s="229"/>
      <c r="G8" s="229"/>
      <c r="H8" s="61"/>
    </row>
    <row r="9" spans="2:12" ht="30.75" customHeight="1" thickBot="1" x14ac:dyDescent="0.4">
      <c r="B9" s="225" t="s">
        <v>66</v>
      </c>
      <c r="C9" s="226"/>
      <c r="D9" s="226"/>
      <c r="E9" s="226"/>
      <c r="F9" s="226"/>
      <c r="G9" s="226"/>
      <c r="H9" s="226"/>
      <c r="I9" s="226"/>
      <c r="J9" s="226"/>
      <c r="K9" s="226"/>
      <c r="L9" s="77" t="s">
        <v>7</v>
      </c>
    </row>
    <row r="10" spans="2:12" ht="15" thickBot="1" x14ac:dyDescent="0.4">
      <c r="B10" s="113" t="s">
        <v>9</v>
      </c>
      <c r="C10" s="113" t="s">
        <v>63</v>
      </c>
      <c r="D10" s="114" t="s">
        <v>62</v>
      </c>
      <c r="E10" s="114" t="s">
        <v>61</v>
      </c>
      <c r="F10" s="114" t="s">
        <v>60</v>
      </c>
      <c r="G10" s="114" t="s">
        <v>59</v>
      </c>
      <c r="H10" s="114" t="s">
        <v>58</v>
      </c>
      <c r="I10" s="114" t="s">
        <v>57</v>
      </c>
      <c r="J10" s="114" t="s">
        <v>56</v>
      </c>
      <c r="K10" s="115" t="s">
        <v>55</v>
      </c>
      <c r="L10" s="116" t="s">
        <v>54</v>
      </c>
    </row>
    <row r="11" spans="2:12" ht="15" thickBot="1" x14ac:dyDescent="0.4">
      <c r="B11" s="69" t="s">
        <v>53</v>
      </c>
      <c r="C11" s="117" t="s">
        <v>52</v>
      </c>
      <c r="D11" s="68">
        <v>8009.8093795564755</v>
      </c>
      <c r="E11" s="68">
        <v>6371.4392791926512</v>
      </c>
      <c r="F11" s="68">
        <v>5097.1514233541211</v>
      </c>
      <c r="G11" s="68">
        <f>Tabela8357[[#This Row],[Colunas1]]*Tabela8357[[#Headers],[44]]</f>
        <v>4004.9046897782378</v>
      </c>
      <c r="H11" s="68">
        <v>3822.8635675155911</v>
      </c>
      <c r="I11" s="68">
        <v>2548.5757116770606</v>
      </c>
      <c r="J11" s="68">
        <v>1274.2878558385303</v>
      </c>
      <c r="K11" s="67">
        <v>364.08224452529436</v>
      </c>
      <c r="L11" s="66">
        <f>Tabela8357[[#This Row],[88]]/Tabela8357[[#Headers],[88]]</f>
        <v>91.020561131323589</v>
      </c>
    </row>
    <row r="12" spans="2:12" x14ac:dyDescent="0.35">
      <c r="B12" s="9" t="s">
        <v>51</v>
      </c>
      <c r="C12" s="51" t="s">
        <v>50</v>
      </c>
      <c r="D12" s="50">
        <v>9985.7390768615205</v>
      </c>
      <c r="E12" s="50">
        <v>7943.2015384125734</v>
      </c>
      <c r="F12" s="50">
        <v>6354.5612307300589</v>
      </c>
      <c r="G12" s="50">
        <f>Tabela8357[[#This Row],[Colunas1]]*Tabela8357[[#Headers],[44]]</f>
        <v>4992.8695384307603</v>
      </c>
      <c r="H12" s="50">
        <v>4765.9209230475444</v>
      </c>
      <c r="I12" s="50">
        <v>3177.2806153650299</v>
      </c>
      <c r="J12" s="50">
        <v>1588.640307682515</v>
      </c>
      <c r="K12" s="49">
        <v>453.89723076643287</v>
      </c>
      <c r="L12" s="48">
        <f>Tabela8357[[#This Row],[88]]/Tabela8357[[#Headers],[88]]</f>
        <v>113.47430769160819</v>
      </c>
    </row>
    <row r="13" spans="2:12" x14ac:dyDescent="0.35">
      <c r="B13" s="6" t="s">
        <v>49</v>
      </c>
      <c r="C13" s="46" t="s">
        <v>48</v>
      </c>
      <c r="D13" s="45">
        <v>10285.33278529555</v>
      </c>
      <c r="E13" s="45">
        <v>8181.514715576006</v>
      </c>
      <c r="F13" s="45">
        <v>6545.2117724608052</v>
      </c>
      <c r="G13" s="45">
        <f>Tabela8357[[#This Row],[Colunas1]]*Tabela8357[[#Headers],[44]]</f>
        <v>5142.666392647775</v>
      </c>
      <c r="H13" s="45">
        <v>4908.9088293456043</v>
      </c>
      <c r="I13" s="45">
        <v>3272.6058862304026</v>
      </c>
      <c r="J13" s="45">
        <v>1636.3029431152013</v>
      </c>
      <c r="K13" s="44">
        <v>467.51512660434321</v>
      </c>
      <c r="L13" s="43">
        <f>Tabela8357[[#This Row],[88]]/Tabela8357[[#Headers],[88]]</f>
        <v>116.87878165108579</v>
      </c>
    </row>
    <row r="14" spans="2:12" x14ac:dyDescent="0.35">
      <c r="B14" s="6" t="s">
        <v>47</v>
      </c>
      <c r="C14" s="46" t="s">
        <v>46</v>
      </c>
      <c r="D14" s="45">
        <v>10593.883107787567</v>
      </c>
      <c r="E14" s="45">
        <v>8426.9524721037469</v>
      </c>
      <c r="F14" s="45">
        <v>6741.5619776829972</v>
      </c>
      <c r="G14" s="45">
        <f>Tabela8357[[#This Row],[Colunas1]]*Tabela8357[[#Headers],[44]]</f>
        <v>5296.9415538937837</v>
      </c>
      <c r="H14" s="45">
        <v>5056.1714832622483</v>
      </c>
      <c r="I14" s="45">
        <v>3370.780988841499</v>
      </c>
      <c r="J14" s="45">
        <v>1685.3904944207495</v>
      </c>
      <c r="K14" s="44">
        <v>481.54014126307129</v>
      </c>
      <c r="L14" s="43">
        <f>Tabela8357[[#This Row],[88]]/Tabela8357[[#Headers],[88]]</f>
        <v>120.38503531576781</v>
      </c>
    </row>
    <row r="15" spans="2:12" ht="15" thickBot="1" x14ac:dyDescent="0.4">
      <c r="B15" s="55" t="s">
        <v>45</v>
      </c>
      <c r="C15" s="54" t="s">
        <v>44</v>
      </c>
      <c r="D15" s="112">
        <v>10911.691952676607</v>
      </c>
      <c r="E15" s="112">
        <v>8679.7549623563918</v>
      </c>
      <c r="F15" s="112">
        <v>6943.8039698851135</v>
      </c>
      <c r="G15" s="112">
        <f>Tabela8357[[#This Row],[Colunas1]]*Tabela8357[[#Headers],[44]]</f>
        <v>5455.8459763383034</v>
      </c>
      <c r="H15" s="112">
        <v>5207.8529774138351</v>
      </c>
      <c r="I15" s="112">
        <v>3471.9019849425567</v>
      </c>
      <c r="J15" s="112">
        <v>1735.9509924712784</v>
      </c>
      <c r="K15" s="53">
        <v>495.98599784893668</v>
      </c>
      <c r="L15" s="52">
        <f>Tabela8357[[#This Row],[88]]/Tabela8357[[#Headers],[88]]</f>
        <v>123.99649946223417</v>
      </c>
    </row>
    <row r="16" spans="2:12" x14ac:dyDescent="0.35">
      <c r="B16" s="9" t="s">
        <v>43</v>
      </c>
      <c r="C16" s="51" t="s">
        <v>42</v>
      </c>
      <c r="D16" s="50">
        <v>12729.441807550809</v>
      </c>
      <c r="E16" s="50">
        <v>10125.692346915417</v>
      </c>
      <c r="F16" s="50">
        <v>8100.5538775323339</v>
      </c>
      <c r="G16" s="50">
        <f>Tabela8357[[#This Row],[Colunas1]]*Tabela8357[[#Headers],[44]]</f>
        <v>6364.7209037754046</v>
      </c>
      <c r="H16" s="50">
        <v>6075.4154081492507</v>
      </c>
      <c r="I16" s="50">
        <v>4050.2769387661674</v>
      </c>
      <c r="J16" s="50">
        <v>2025.1384693830837</v>
      </c>
      <c r="K16" s="49">
        <v>578.61099125230965</v>
      </c>
      <c r="L16" s="48">
        <f>Tabela8357[[#This Row],[88]]/Tabela8357[[#Headers],[88]]</f>
        <v>144.65274781307738</v>
      </c>
    </row>
    <row r="17" spans="2:12" x14ac:dyDescent="0.35">
      <c r="B17" s="6" t="s">
        <v>41</v>
      </c>
      <c r="C17" s="46" t="s">
        <v>40</v>
      </c>
      <c r="D17" s="45">
        <v>13111.335729205317</v>
      </c>
      <c r="E17" s="45">
        <v>10429.471602776957</v>
      </c>
      <c r="F17" s="45">
        <v>8343.5772822215658</v>
      </c>
      <c r="G17" s="45">
        <f>Tabela8357[[#This Row],[Colunas1]]*Tabela8357[[#Headers],[44]]</f>
        <v>6555.6678646026594</v>
      </c>
      <c r="H17" s="45">
        <v>6257.6829616661744</v>
      </c>
      <c r="I17" s="45">
        <v>4171.7886411107829</v>
      </c>
      <c r="J17" s="45">
        <v>2085.8943205553915</v>
      </c>
      <c r="K17" s="44">
        <v>595.969805872969</v>
      </c>
      <c r="L17" s="43">
        <f>Tabela8357[[#This Row],[88]]/Tabela8357[[#Headers],[88]]</f>
        <v>148.99245146824225</v>
      </c>
    </row>
    <row r="18" spans="2:12" x14ac:dyDescent="0.35">
      <c r="B18" s="6" t="s">
        <v>39</v>
      </c>
      <c r="C18" s="46" t="s">
        <v>38</v>
      </c>
      <c r="D18" s="45">
        <v>13504.651849686577</v>
      </c>
      <c r="E18" s="45">
        <v>10742.336698614323</v>
      </c>
      <c r="F18" s="45">
        <v>8593.8693588914575</v>
      </c>
      <c r="G18" s="45">
        <f>Tabela8357[[#This Row],[Colunas1]]*Tabela8357[[#Headers],[44]]</f>
        <v>6752.3259248432887</v>
      </c>
      <c r="H18" s="45">
        <v>6445.4020191685941</v>
      </c>
      <c r="I18" s="45">
        <v>4296.9346794457297</v>
      </c>
      <c r="J18" s="45">
        <v>2148.4673397228648</v>
      </c>
      <c r="K18" s="44">
        <v>613.84781134938999</v>
      </c>
      <c r="L18" s="43">
        <f>Tabela8357[[#This Row],[88]]/Tabela8357[[#Headers],[88]]</f>
        <v>153.46195283734747</v>
      </c>
    </row>
    <row r="19" spans="2:12" ht="15" thickBot="1" x14ac:dyDescent="0.4">
      <c r="B19" s="55" t="s">
        <v>37</v>
      </c>
      <c r="C19" s="54" t="s">
        <v>36</v>
      </c>
      <c r="D19" s="112">
        <v>13909.792713446641</v>
      </c>
      <c r="E19" s="112">
        <v>11064.607840241646</v>
      </c>
      <c r="F19" s="112">
        <v>8851.6862721933176</v>
      </c>
      <c r="G19" s="112">
        <f>Tabela8357[[#This Row],[Colunas1]]*Tabela8357[[#Headers],[44]]</f>
        <v>6954.8963567233204</v>
      </c>
      <c r="H19" s="112">
        <v>6638.7647041449882</v>
      </c>
      <c r="I19" s="112">
        <v>4425.8431360966588</v>
      </c>
      <c r="J19" s="112">
        <v>2212.9215680483294</v>
      </c>
      <c r="K19" s="53">
        <v>632.26330515666552</v>
      </c>
      <c r="L19" s="52">
        <f>Tabela8357[[#This Row],[88]]/Tabela8357[[#Headers],[88]]</f>
        <v>158.06582628916638</v>
      </c>
    </row>
    <row r="20" spans="2:12" x14ac:dyDescent="0.35">
      <c r="B20" s="9" t="s">
        <v>35</v>
      </c>
      <c r="C20" s="51" t="s">
        <v>34</v>
      </c>
      <c r="D20" s="50">
        <v>16500.770079030299</v>
      </c>
      <c r="E20" s="50">
        <v>13125.61256286501</v>
      </c>
      <c r="F20" s="50">
        <v>10500.490050292008</v>
      </c>
      <c r="G20" s="50">
        <f>Tabela8357[[#This Row],[Colunas1]]*Tabela8357[[#Headers],[44]]</f>
        <v>8250.3850395151494</v>
      </c>
      <c r="H20" s="50">
        <v>7875.3675377190066</v>
      </c>
      <c r="I20" s="50">
        <v>5250.2450251460041</v>
      </c>
      <c r="J20" s="50">
        <v>2625.122512573002</v>
      </c>
      <c r="K20" s="49">
        <v>750.03500359228633</v>
      </c>
      <c r="L20" s="48">
        <f>Tabela8357[[#This Row],[88]]/Tabela8357[[#Headers],[88]]</f>
        <v>187.50875089807158</v>
      </c>
    </row>
    <row r="21" spans="2:12" x14ac:dyDescent="0.35">
      <c r="B21" s="6" t="s">
        <v>33</v>
      </c>
      <c r="C21" s="46" t="s">
        <v>32</v>
      </c>
      <c r="D21" s="45">
        <v>16995.809182543173</v>
      </c>
      <c r="E21" s="45">
        <v>13519.393667932069</v>
      </c>
      <c r="F21" s="45">
        <v>10815.514934345654</v>
      </c>
      <c r="G21" s="45">
        <f>Tabela8357[[#This Row],[Colunas1]]*Tabela8357[[#Headers],[44]]</f>
        <v>8497.9045912715865</v>
      </c>
      <c r="H21" s="45">
        <v>8111.6362007592415</v>
      </c>
      <c r="I21" s="45">
        <v>5407.757467172828</v>
      </c>
      <c r="J21" s="45">
        <v>2703.878733586414</v>
      </c>
      <c r="K21" s="44">
        <v>772.53678102468973</v>
      </c>
      <c r="L21" s="43">
        <f>Tabela8357[[#This Row],[88]]/Tabela8357[[#Headers],[88]]</f>
        <v>193.13419525617243</v>
      </c>
    </row>
    <row r="22" spans="2:12" x14ac:dyDescent="0.35">
      <c r="B22" s="6" t="s">
        <v>31</v>
      </c>
      <c r="C22" s="46" t="s">
        <v>30</v>
      </c>
      <c r="D22" s="45">
        <v>17505.671985502599</v>
      </c>
      <c r="E22" s="45">
        <v>13924.966352104329</v>
      </c>
      <c r="F22" s="45">
        <v>11139.973081683464</v>
      </c>
      <c r="G22" s="45">
        <f>Tabela8357[[#This Row],[Colunas1]]*Tabela8357[[#Headers],[44]]</f>
        <v>8752.8359927512993</v>
      </c>
      <c r="H22" s="45">
        <v>8354.9798112625977</v>
      </c>
      <c r="I22" s="45">
        <v>5569.9865408417318</v>
      </c>
      <c r="J22" s="45">
        <v>2784.9932704208659</v>
      </c>
      <c r="K22" s="44">
        <v>795.71236297739028</v>
      </c>
      <c r="L22" s="43">
        <f>Tabela8357[[#This Row],[88]]/Tabela8357[[#Headers],[88]]</f>
        <v>198.92809074434771</v>
      </c>
    </row>
    <row r="23" spans="2:12" ht="15" thickBot="1" x14ac:dyDescent="0.4">
      <c r="B23" s="55" t="s">
        <v>29</v>
      </c>
      <c r="C23" s="54" t="s">
        <v>28</v>
      </c>
      <c r="D23" s="112">
        <v>0</v>
      </c>
      <c r="E23" s="112">
        <v>14342.706857213383</v>
      </c>
      <c r="F23" s="112">
        <v>11474.165485770707</v>
      </c>
      <c r="G23" s="112">
        <f>Tabela8357[[#This Row],[Colunas1]]*Tabela8357[[#Headers],[44]]</f>
        <v>9015.41573881984</v>
      </c>
      <c r="H23" s="112">
        <v>8605.6241143280313</v>
      </c>
      <c r="I23" s="112">
        <v>5737.0827428853545</v>
      </c>
      <c r="J23" s="112">
        <v>2868.5413714426772</v>
      </c>
      <c r="K23" s="53">
        <v>819.58324898362207</v>
      </c>
      <c r="L23" s="52">
        <f>Tabela8357[[#This Row],[70]]/Tabela8357[[#Headers],[70]]</f>
        <v>204.89581224590546</v>
      </c>
    </row>
    <row r="24" spans="2:12" x14ac:dyDescent="0.35">
      <c r="B24" s="9" t="s">
        <v>27</v>
      </c>
      <c r="C24" s="51" t="s">
        <v>26</v>
      </c>
      <c r="D24" s="50">
        <v>0</v>
      </c>
      <c r="E24" s="50">
        <v>0</v>
      </c>
      <c r="F24" s="50">
        <v>0</v>
      </c>
      <c r="G24" s="50">
        <f>Tabela8357[[#This Row],[Colunas1]]*Tabela8357[[#Headers],[44]]</f>
        <v>11601.049326802606</v>
      </c>
      <c r="H24" s="50">
        <v>11073.728902857032</v>
      </c>
      <c r="I24" s="50">
        <v>7382.4859352380217</v>
      </c>
      <c r="J24" s="50">
        <v>3691.2429676190109</v>
      </c>
      <c r="K24" s="49">
        <v>1054.640847891146</v>
      </c>
      <c r="L24" s="48">
        <f>Tabela8357[[#This Row],[42]]/Tabela8357[[#Headers],[42]]</f>
        <v>263.6602119727865</v>
      </c>
    </row>
    <row r="25" spans="2:12" x14ac:dyDescent="0.35">
      <c r="B25" s="47"/>
      <c r="C25" s="46" t="s">
        <v>25</v>
      </c>
      <c r="D25" s="45">
        <v>0</v>
      </c>
      <c r="E25" s="45">
        <v>0</v>
      </c>
      <c r="F25" s="45">
        <v>0</v>
      </c>
      <c r="G25" s="45"/>
      <c r="H25" s="45">
        <v>0</v>
      </c>
      <c r="I25" s="45">
        <v>7919.0035850390541</v>
      </c>
      <c r="J25" s="45">
        <v>3959.501792519527</v>
      </c>
      <c r="K25" s="44">
        <v>1131.2862264341506</v>
      </c>
      <c r="L25" s="43">
        <f>Tabela8357[[#This Row],[28]]/Tabela8357[[#Headers],[28]]</f>
        <v>282.82155660853766</v>
      </c>
    </row>
    <row r="26" spans="2:12" x14ac:dyDescent="0.35">
      <c r="B26" s="47"/>
      <c r="C26" s="46" t="s">
        <v>24</v>
      </c>
      <c r="D26" s="45">
        <v>0</v>
      </c>
      <c r="E26" s="45">
        <v>0</v>
      </c>
      <c r="F26" s="45">
        <v>0</v>
      </c>
      <c r="G26" s="45"/>
      <c r="H26" s="45">
        <v>0</v>
      </c>
      <c r="I26" s="45">
        <v>8455.5212348400855</v>
      </c>
      <c r="J26" s="45">
        <v>4227.7606174200428</v>
      </c>
      <c r="K26" s="44">
        <v>1207.9316049771551</v>
      </c>
      <c r="L26" s="43">
        <f>Tabela8357[[#This Row],[28]]/Tabela8357[[#Headers],[28]]</f>
        <v>301.98290124428877</v>
      </c>
    </row>
    <row r="27" spans="2:12" ht="15" thickBot="1" x14ac:dyDescent="0.4">
      <c r="B27" s="42"/>
      <c r="C27" s="41" t="s">
        <v>23</v>
      </c>
      <c r="D27" s="40">
        <v>0</v>
      </c>
      <c r="E27" s="40">
        <v>0</v>
      </c>
      <c r="F27" s="40">
        <v>0</v>
      </c>
      <c r="G27" s="40"/>
      <c r="H27" s="40">
        <v>0</v>
      </c>
      <c r="I27" s="40">
        <v>8601.0900000000038</v>
      </c>
      <c r="J27" s="40">
        <v>4300.5450000000019</v>
      </c>
      <c r="K27" s="39">
        <v>1228.7271428571435</v>
      </c>
      <c r="L27" s="38">
        <f>Tabela8357[[#This Row],[28]]/Tabela8357[[#Headers],[28]]</f>
        <v>307.18178571428587</v>
      </c>
    </row>
    <row r="28" spans="2:12" ht="15" hidden="1" thickBot="1" x14ac:dyDescent="0.4"/>
    <row r="29" spans="2:12" s="3" customFormat="1" ht="15.75" customHeight="1" thickBot="1" x14ac:dyDescent="0.4">
      <c r="B29" s="225" t="s">
        <v>9</v>
      </c>
      <c r="C29" s="210" t="s">
        <v>8</v>
      </c>
      <c r="D29" s="211"/>
      <c r="E29" s="211"/>
      <c r="F29" s="211"/>
      <c r="G29" s="211"/>
      <c r="H29" s="211"/>
      <c r="I29" s="211"/>
      <c r="J29" s="211"/>
      <c r="K29" s="233"/>
      <c r="L29" s="234" t="s">
        <v>7</v>
      </c>
    </row>
    <row r="30" spans="2:12" s="3" customFormat="1" ht="15" thickBot="1" x14ac:dyDescent="0.4">
      <c r="B30" s="217"/>
      <c r="C30" s="12" t="s">
        <v>21</v>
      </c>
      <c r="D30" s="11">
        <v>88</v>
      </c>
      <c r="E30" s="11">
        <v>70</v>
      </c>
      <c r="F30" s="11">
        <v>56</v>
      </c>
      <c r="G30" s="11">
        <v>44</v>
      </c>
      <c r="H30" s="11">
        <v>42</v>
      </c>
      <c r="I30" s="11">
        <v>28</v>
      </c>
      <c r="J30" s="11">
        <v>14</v>
      </c>
      <c r="K30" s="10">
        <v>4</v>
      </c>
      <c r="L30" s="220"/>
    </row>
    <row r="31" spans="2:12" s="3" customFormat="1" ht="16" x14ac:dyDescent="0.5">
      <c r="B31" s="9" t="s">
        <v>0</v>
      </c>
      <c r="C31" s="244" t="s">
        <v>70</v>
      </c>
      <c r="D31" s="70">
        <v>3070.45</v>
      </c>
      <c r="E31" s="70">
        <f t="shared" ref="E31:E40" si="0">L31*$E$30</f>
        <v>2442.403409090909</v>
      </c>
      <c r="F31" s="70">
        <f t="shared" ref="F31:F40" si="1">L31*$F$30</f>
        <v>1953.9227272727271</v>
      </c>
      <c r="G31" s="70">
        <f t="shared" ref="G31:G40" si="2">L31*$G$30</f>
        <v>1535.2249999999999</v>
      </c>
      <c r="H31" s="70">
        <f t="shared" ref="H31:H40" si="3">L31*$H$30</f>
        <v>1465.4420454545455</v>
      </c>
      <c r="I31" s="70">
        <f t="shared" ref="I31:I40" si="4">L31*$I$30</f>
        <v>976.96136363636356</v>
      </c>
      <c r="J31" s="70">
        <f t="shared" ref="J31:J40" si="5">L31*$J$30</f>
        <v>488.48068181818178</v>
      </c>
      <c r="K31" s="70">
        <f t="shared" ref="K31:K40" si="6">L31*$K$30</f>
        <v>139.56590909090909</v>
      </c>
      <c r="L31" s="194">
        <f>D31/$D$30</f>
        <v>34.891477272727272</v>
      </c>
    </row>
    <row r="32" spans="2:12" s="3" customFormat="1" ht="15.5" x14ac:dyDescent="0.35">
      <c r="B32" s="6" t="s">
        <v>112</v>
      </c>
      <c r="C32" s="8" t="s">
        <v>114</v>
      </c>
      <c r="D32" s="71">
        <v>3837</v>
      </c>
      <c r="E32" s="71">
        <f t="shared" si="0"/>
        <v>2800</v>
      </c>
      <c r="F32" s="71">
        <f t="shared" si="1"/>
        <v>2240</v>
      </c>
      <c r="G32" s="71">
        <f t="shared" si="2"/>
        <v>1760</v>
      </c>
      <c r="H32" s="71">
        <f t="shared" si="3"/>
        <v>1680</v>
      </c>
      <c r="I32" s="71">
        <f t="shared" si="4"/>
        <v>1120</v>
      </c>
      <c r="J32" s="71">
        <f t="shared" si="5"/>
        <v>560</v>
      </c>
      <c r="K32" s="71">
        <f t="shared" si="6"/>
        <v>160</v>
      </c>
      <c r="L32" s="195">
        <v>40</v>
      </c>
    </row>
    <row r="33" spans="2:12" s="3" customFormat="1" ht="15.5" x14ac:dyDescent="0.35">
      <c r="B33" s="6" t="s">
        <v>5</v>
      </c>
      <c r="C33" s="8" t="s">
        <v>72</v>
      </c>
      <c r="D33" s="71">
        <v>4073</v>
      </c>
      <c r="E33" s="71">
        <f t="shared" si="0"/>
        <v>3239.8863636363635</v>
      </c>
      <c r="F33" s="71">
        <f t="shared" si="1"/>
        <v>2591.909090909091</v>
      </c>
      <c r="G33" s="71">
        <f t="shared" si="2"/>
        <v>2036.5</v>
      </c>
      <c r="H33" s="71">
        <f t="shared" si="3"/>
        <v>1943.931818181818</v>
      </c>
      <c r="I33" s="71">
        <f t="shared" si="4"/>
        <v>1295.9545454545455</v>
      </c>
      <c r="J33" s="71">
        <f t="shared" si="5"/>
        <v>647.97727272727275</v>
      </c>
      <c r="K33" s="71">
        <f t="shared" si="6"/>
        <v>185.13636363636363</v>
      </c>
      <c r="L33" s="195">
        <f t="shared" ref="L33:L40" si="7">D33/$D$30</f>
        <v>46.284090909090907</v>
      </c>
    </row>
    <row r="34" spans="2:12" s="3" customFormat="1" ht="15.5" x14ac:dyDescent="0.35">
      <c r="B34" s="6" t="s">
        <v>4</v>
      </c>
      <c r="C34" s="8" t="s">
        <v>71</v>
      </c>
      <c r="D34" s="71">
        <v>4000</v>
      </c>
      <c r="E34" s="71">
        <f t="shared" si="0"/>
        <v>3181.8181818181815</v>
      </c>
      <c r="F34" s="71">
        <f t="shared" si="1"/>
        <v>2545.4545454545455</v>
      </c>
      <c r="G34" s="71">
        <f t="shared" si="2"/>
        <v>2000</v>
      </c>
      <c r="H34" s="71">
        <f t="shared" si="3"/>
        <v>1909.090909090909</v>
      </c>
      <c r="I34" s="71">
        <f t="shared" si="4"/>
        <v>1272.7272727272727</v>
      </c>
      <c r="J34" s="71">
        <f t="shared" si="5"/>
        <v>636.36363636363637</v>
      </c>
      <c r="K34" s="71">
        <f t="shared" si="6"/>
        <v>181.81818181818181</v>
      </c>
      <c r="L34" s="195">
        <f t="shared" si="7"/>
        <v>45.454545454545453</v>
      </c>
    </row>
    <row r="35" spans="2:12" s="3" customFormat="1" ht="15.5" x14ac:dyDescent="0.35">
      <c r="B35" s="6" t="s">
        <v>3</v>
      </c>
      <c r="C35" s="8" t="s">
        <v>73</v>
      </c>
      <c r="D35" s="71">
        <v>3000</v>
      </c>
      <c r="E35" s="71">
        <f t="shared" si="0"/>
        <v>2386.3636363636365</v>
      </c>
      <c r="F35" s="71">
        <f t="shared" si="1"/>
        <v>1909.0909090909092</v>
      </c>
      <c r="G35" s="71">
        <f t="shared" si="2"/>
        <v>1500</v>
      </c>
      <c r="H35" s="71">
        <f t="shared" si="3"/>
        <v>1431.818181818182</v>
      </c>
      <c r="I35" s="71">
        <f t="shared" si="4"/>
        <v>954.54545454545462</v>
      </c>
      <c r="J35" s="71">
        <f t="shared" si="5"/>
        <v>477.27272727272731</v>
      </c>
      <c r="K35" s="71">
        <f t="shared" si="6"/>
        <v>136.36363636363637</v>
      </c>
      <c r="L35" s="195">
        <f t="shared" si="7"/>
        <v>34.090909090909093</v>
      </c>
    </row>
    <row r="36" spans="2:12" s="3" customFormat="1" ht="15.5" x14ac:dyDescent="0.35">
      <c r="B36" s="6" t="s">
        <v>2</v>
      </c>
      <c r="C36" s="8" t="s">
        <v>74</v>
      </c>
      <c r="D36" s="71">
        <v>2000</v>
      </c>
      <c r="E36" s="71">
        <f t="shared" si="0"/>
        <v>1590.9090909090908</v>
      </c>
      <c r="F36" s="71">
        <f t="shared" si="1"/>
        <v>1272.7272727272727</v>
      </c>
      <c r="G36" s="71">
        <f t="shared" si="2"/>
        <v>1000</v>
      </c>
      <c r="H36" s="71">
        <f t="shared" si="3"/>
        <v>954.5454545454545</v>
      </c>
      <c r="I36" s="71">
        <f t="shared" si="4"/>
        <v>636.36363636363637</v>
      </c>
      <c r="J36" s="71">
        <f t="shared" si="5"/>
        <v>318.18181818181819</v>
      </c>
      <c r="K36" s="71">
        <f t="shared" si="6"/>
        <v>90.909090909090907</v>
      </c>
      <c r="L36" s="195">
        <f t="shared" si="7"/>
        <v>22.727272727272727</v>
      </c>
    </row>
    <row r="37" spans="2:12" s="3" customFormat="1" ht="15.5" x14ac:dyDescent="0.35">
      <c r="B37" s="6" t="s">
        <v>113</v>
      </c>
      <c r="C37" s="8" t="s">
        <v>119</v>
      </c>
      <c r="D37" s="71">
        <v>1500</v>
      </c>
      <c r="E37" s="71">
        <f t="shared" si="0"/>
        <v>1193.1818181818182</v>
      </c>
      <c r="F37" s="71">
        <f t="shared" si="1"/>
        <v>954.54545454545462</v>
      </c>
      <c r="G37" s="71">
        <f t="shared" si="2"/>
        <v>750</v>
      </c>
      <c r="H37" s="71">
        <f t="shared" si="3"/>
        <v>715.90909090909099</v>
      </c>
      <c r="I37" s="71">
        <f t="shared" si="4"/>
        <v>477.27272727272731</v>
      </c>
      <c r="J37" s="71">
        <f t="shared" si="5"/>
        <v>238.63636363636365</v>
      </c>
      <c r="K37" s="71">
        <f t="shared" si="6"/>
        <v>68.181818181818187</v>
      </c>
      <c r="L37" s="195">
        <f t="shared" si="7"/>
        <v>17.045454545454547</v>
      </c>
    </row>
    <row r="38" spans="2:12" s="3" customFormat="1" ht="15.5" x14ac:dyDescent="0.35">
      <c r="B38" s="6" t="s">
        <v>69</v>
      </c>
      <c r="C38" s="7" t="s">
        <v>75</v>
      </c>
      <c r="D38" s="71">
        <v>11000</v>
      </c>
      <c r="E38" s="71">
        <f t="shared" si="0"/>
        <v>8750</v>
      </c>
      <c r="F38" s="71">
        <f t="shared" si="1"/>
        <v>7000</v>
      </c>
      <c r="G38" s="71">
        <f t="shared" si="2"/>
        <v>5500</v>
      </c>
      <c r="H38" s="71">
        <f t="shared" si="3"/>
        <v>5250</v>
      </c>
      <c r="I38" s="71">
        <f t="shared" si="4"/>
        <v>3500</v>
      </c>
      <c r="J38" s="71">
        <f t="shared" si="5"/>
        <v>1750</v>
      </c>
      <c r="K38" s="71">
        <f t="shared" si="6"/>
        <v>500</v>
      </c>
      <c r="L38" s="195">
        <f t="shared" si="7"/>
        <v>125</v>
      </c>
    </row>
    <row r="39" spans="2:12" s="3" customFormat="1" ht="15.5" x14ac:dyDescent="0.35">
      <c r="B39" s="6" t="s">
        <v>67</v>
      </c>
      <c r="C39" s="7" t="s">
        <v>76</v>
      </c>
      <c r="D39" s="71">
        <v>13000</v>
      </c>
      <c r="E39" s="71">
        <f t="shared" si="0"/>
        <v>10340.90909090909</v>
      </c>
      <c r="F39" s="71">
        <f t="shared" si="1"/>
        <v>8272.7272727272721</v>
      </c>
      <c r="G39" s="71">
        <f t="shared" si="2"/>
        <v>6500</v>
      </c>
      <c r="H39" s="71">
        <f t="shared" si="3"/>
        <v>6204.545454545454</v>
      </c>
      <c r="I39" s="71">
        <f t="shared" si="4"/>
        <v>4136.363636363636</v>
      </c>
      <c r="J39" s="71">
        <f t="shared" si="5"/>
        <v>2068.181818181818</v>
      </c>
      <c r="K39" s="71">
        <f t="shared" si="6"/>
        <v>590.90909090909088</v>
      </c>
      <c r="L39" s="195">
        <f t="shared" si="7"/>
        <v>147.72727272727272</v>
      </c>
    </row>
    <row r="40" spans="2:12" s="3" customFormat="1" ht="16" thickBot="1" x14ac:dyDescent="0.4">
      <c r="B40" s="5" t="s">
        <v>68</v>
      </c>
      <c r="C40" s="73" t="s">
        <v>77</v>
      </c>
      <c r="D40" s="72">
        <v>15000</v>
      </c>
      <c r="E40" s="72">
        <f t="shared" si="0"/>
        <v>11931.818181818182</v>
      </c>
      <c r="F40" s="72">
        <f t="shared" si="1"/>
        <v>9545.454545454546</v>
      </c>
      <c r="G40" s="72">
        <f t="shared" si="2"/>
        <v>7500.0000000000009</v>
      </c>
      <c r="H40" s="72">
        <f t="shared" si="3"/>
        <v>7159.0909090909099</v>
      </c>
      <c r="I40" s="72">
        <f t="shared" si="4"/>
        <v>4772.727272727273</v>
      </c>
      <c r="J40" s="72">
        <f t="shared" si="5"/>
        <v>2386.3636363636365</v>
      </c>
      <c r="K40" s="72">
        <f t="shared" si="6"/>
        <v>681.81818181818187</v>
      </c>
      <c r="L40" s="196">
        <f t="shared" si="7"/>
        <v>170.45454545454547</v>
      </c>
    </row>
    <row r="41" spans="2:12" s="3" customFormat="1" ht="15.5" hidden="1" x14ac:dyDescent="0.35">
      <c r="B41" s="1"/>
      <c r="C41" s="58"/>
      <c r="D41" s="200"/>
      <c r="E41" s="200"/>
      <c r="F41" s="200"/>
      <c r="G41" s="200"/>
      <c r="H41" s="200"/>
      <c r="I41" s="200"/>
      <c r="J41" s="200"/>
      <c r="K41" s="200"/>
      <c r="L41" s="201"/>
    </row>
    <row r="42" spans="2:12" s="3" customFormat="1" ht="31.5" hidden="1" customHeight="1" x14ac:dyDescent="0.35">
      <c r="B42" s="230" t="s">
        <v>133</v>
      </c>
      <c r="C42" s="230"/>
      <c r="D42" s="230"/>
      <c r="E42" s="230"/>
      <c r="F42" s="230"/>
      <c r="G42" s="230"/>
      <c r="H42" s="230"/>
      <c r="I42" s="230"/>
      <c r="J42" s="230"/>
      <c r="K42" s="230"/>
      <c r="L42" s="230"/>
    </row>
    <row r="43" spans="2:12" s="3" customFormat="1" ht="15" hidden="1" thickBot="1" x14ac:dyDescent="0.4">
      <c r="B43" s="202"/>
      <c r="C43" s="202"/>
      <c r="D43" s="203"/>
      <c r="E43" s="203"/>
      <c r="F43" s="203"/>
      <c r="G43" s="203"/>
      <c r="H43" s="203"/>
      <c r="I43" s="203"/>
      <c r="J43" s="4"/>
      <c r="K43" s="4"/>
    </row>
    <row r="44" spans="2:12" s="3" customFormat="1" ht="15" thickBot="1" x14ac:dyDescent="0.4">
      <c r="B44" s="227" t="s">
        <v>6</v>
      </c>
      <c r="C44" s="211" t="s">
        <v>22</v>
      </c>
      <c r="D44" s="211"/>
      <c r="E44" s="211"/>
      <c r="F44" s="211"/>
      <c r="G44" s="211"/>
      <c r="H44" s="211"/>
      <c r="I44" s="211"/>
      <c r="J44" s="211"/>
      <c r="K44" s="212"/>
      <c r="L44" s="219" t="s">
        <v>7</v>
      </c>
    </row>
    <row r="45" spans="2:12" s="3" customFormat="1" ht="15" thickBot="1" x14ac:dyDescent="0.4">
      <c r="B45" s="228"/>
      <c r="C45" s="179" t="s">
        <v>21</v>
      </c>
      <c r="D45" s="11">
        <v>88</v>
      </c>
      <c r="E45" s="11">
        <v>70</v>
      </c>
      <c r="F45" s="11">
        <v>56</v>
      </c>
      <c r="G45" s="11">
        <v>44</v>
      </c>
      <c r="H45" s="11">
        <v>42</v>
      </c>
      <c r="I45" s="11">
        <v>28</v>
      </c>
      <c r="J45" s="11">
        <v>14</v>
      </c>
      <c r="K45" s="10">
        <v>4</v>
      </c>
      <c r="L45" s="220"/>
    </row>
    <row r="46" spans="2:12" s="3" customFormat="1" ht="15" thickBot="1" x14ac:dyDescent="0.4">
      <c r="B46" s="187" t="s">
        <v>20</v>
      </c>
      <c r="C46" s="175" t="s">
        <v>123</v>
      </c>
      <c r="D46" s="34">
        <f t="shared" ref="D46:D56" si="8">L46*$D$45</f>
        <v>14080</v>
      </c>
      <c r="E46" s="34">
        <f t="shared" ref="E46:E56" si="9">L46*$E$45</f>
        <v>11200</v>
      </c>
      <c r="F46" s="34">
        <f t="shared" ref="F46:F56" si="10">L46*$F$45</f>
        <v>8960</v>
      </c>
      <c r="G46" s="34">
        <f t="shared" ref="G46:G56" si="11">L46*$G$45</f>
        <v>7040</v>
      </c>
      <c r="H46" s="34">
        <f t="shared" ref="H46:H56" si="12">L46*$H$45</f>
        <v>6720</v>
      </c>
      <c r="I46" s="34">
        <f t="shared" ref="I46:I56" si="13">L46*$I$45</f>
        <v>4480</v>
      </c>
      <c r="J46" s="34">
        <f t="shared" ref="J46:J56" si="14">L46*$J$45</f>
        <v>2240</v>
      </c>
      <c r="K46" s="34">
        <f t="shared" ref="K46:K56" si="15">L46*$K$45</f>
        <v>640</v>
      </c>
      <c r="L46" s="33">
        <v>160</v>
      </c>
    </row>
    <row r="47" spans="2:12" s="3" customFormat="1" x14ac:dyDescent="0.35">
      <c r="B47" s="199" t="s">
        <v>129</v>
      </c>
      <c r="C47" s="176" t="s">
        <v>124</v>
      </c>
      <c r="D47" s="24">
        <f t="shared" si="8"/>
        <v>13200</v>
      </c>
      <c r="E47" s="24">
        <f t="shared" si="9"/>
        <v>10500</v>
      </c>
      <c r="F47" s="24">
        <f t="shared" si="10"/>
        <v>8400</v>
      </c>
      <c r="G47" s="24">
        <f t="shared" si="11"/>
        <v>6600</v>
      </c>
      <c r="H47" s="24">
        <f t="shared" si="12"/>
        <v>6300</v>
      </c>
      <c r="I47" s="34">
        <f t="shared" si="13"/>
        <v>4200</v>
      </c>
      <c r="J47" s="34">
        <f t="shared" si="14"/>
        <v>2100</v>
      </c>
      <c r="K47" s="34">
        <f t="shared" si="15"/>
        <v>600</v>
      </c>
      <c r="L47" s="23">
        <v>150</v>
      </c>
    </row>
    <row r="48" spans="2:12" ht="15" thickBot="1" x14ac:dyDescent="0.4">
      <c r="B48" s="181" t="s">
        <v>128</v>
      </c>
      <c r="C48" s="178" t="s">
        <v>124</v>
      </c>
      <c r="D48" s="14">
        <f t="shared" si="8"/>
        <v>12320</v>
      </c>
      <c r="E48" s="14">
        <f t="shared" si="9"/>
        <v>9800</v>
      </c>
      <c r="F48" s="14">
        <f t="shared" si="10"/>
        <v>7840</v>
      </c>
      <c r="G48" s="14">
        <f t="shared" si="11"/>
        <v>6160</v>
      </c>
      <c r="H48" s="14">
        <f t="shared" si="12"/>
        <v>5880</v>
      </c>
      <c r="I48" s="14">
        <f t="shared" si="13"/>
        <v>3920</v>
      </c>
      <c r="J48" s="14">
        <f t="shared" si="14"/>
        <v>1960</v>
      </c>
      <c r="K48" s="14">
        <f t="shared" si="15"/>
        <v>560</v>
      </c>
      <c r="L48" s="13">
        <v>140</v>
      </c>
    </row>
    <row r="49" spans="2:12" x14ac:dyDescent="0.35">
      <c r="B49" s="183" t="s">
        <v>127</v>
      </c>
      <c r="C49" s="184" t="s">
        <v>122</v>
      </c>
      <c r="D49" s="185">
        <f t="shared" si="8"/>
        <v>11440</v>
      </c>
      <c r="E49" s="185">
        <f t="shared" si="9"/>
        <v>9100</v>
      </c>
      <c r="F49" s="185">
        <f t="shared" si="10"/>
        <v>7280</v>
      </c>
      <c r="G49" s="185">
        <f t="shared" si="11"/>
        <v>5720</v>
      </c>
      <c r="H49" s="185">
        <f t="shared" si="12"/>
        <v>5460</v>
      </c>
      <c r="I49" s="185">
        <f t="shared" si="13"/>
        <v>3640</v>
      </c>
      <c r="J49" s="185">
        <f t="shared" si="14"/>
        <v>1820</v>
      </c>
      <c r="K49" s="185">
        <f t="shared" si="15"/>
        <v>520</v>
      </c>
      <c r="L49" s="186">
        <v>130</v>
      </c>
    </row>
    <row r="50" spans="2:12" x14ac:dyDescent="0.35">
      <c r="B50" s="180" t="s">
        <v>126</v>
      </c>
      <c r="C50" s="177" t="s">
        <v>122</v>
      </c>
      <c r="D50" s="19">
        <f t="shared" si="8"/>
        <v>10560</v>
      </c>
      <c r="E50" s="19">
        <f t="shared" si="9"/>
        <v>8400</v>
      </c>
      <c r="F50" s="19">
        <f t="shared" si="10"/>
        <v>6720</v>
      </c>
      <c r="G50" s="19">
        <f t="shared" si="11"/>
        <v>5280</v>
      </c>
      <c r="H50" s="19">
        <f t="shared" si="12"/>
        <v>5040</v>
      </c>
      <c r="I50" s="19">
        <f t="shared" si="13"/>
        <v>3360</v>
      </c>
      <c r="J50" s="19">
        <f t="shared" si="14"/>
        <v>1680</v>
      </c>
      <c r="K50" s="19">
        <f t="shared" si="15"/>
        <v>480</v>
      </c>
      <c r="L50" s="18">
        <v>120</v>
      </c>
    </row>
    <row r="51" spans="2:12" ht="15" thickBot="1" x14ac:dyDescent="0.4">
      <c r="B51" s="182" t="s">
        <v>125</v>
      </c>
      <c r="C51" s="178" t="s">
        <v>122</v>
      </c>
      <c r="D51" s="14">
        <f t="shared" si="8"/>
        <v>9680</v>
      </c>
      <c r="E51" s="14">
        <f t="shared" si="9"/>
        <v>7700</v>
      </c>
      <c r="F51" s="14">
        <f t="shared" si="10"/>
        <v>6160</v>
      </c>
      <c r="G51" s="14">
        <f t="shared" si="11"/>
        <v>4840</v>
      </c>
      <c r="H51" s="14">
        <f t="shared" si="12"/>
        <v>4620</v>
      </c>
      <c r="I51" s="14">
        <f t="shared" si="13"/>
        <v>3080</v>
      </c>
      <c r="J51" s="14">
        <f t="shared" si="14"/>
        <v>1540</v>
      </c>
      <c r="K51" s="14">
        <f t="shared" si="15"/>
        <v>440</v>
      </c>
      <c r="L51" s="13">
        <v>110</v>
      </c>
    </row>
    <row r="52" spans="2:12" x14ac:dyDescent="0.35">
      <c r="B52" s="199" t="s">
        <v>107</v>
      </c>
      <c r="C52" s="184" t="s">
        <v>14</v>
      </c>
      <c r="D52" s="185">
        <f t="shared" si="8"/>
        <v>7040</v>
      </c>
      <c r="E52" s="185">
        <f t="shared" si="9"/>
        <v>5600</v>
      </c>
      <c r="F52" s="185">
        <f t="shared" si="10"/>
        <v>4480</v>
      </c>
      <c r="G52" s="185">
        <f t="shared" si="11"/>
        <v>3520</v>
      </c>
      <c r="H52" s="185">
        <f t="shared" si="12"/>
        <v>3360</v>
      </c>
      <c r="I52" s="185">
        <f t="shared" si="13"/>
        <v>2240</v>
      </c>
      <c r="J52" s="185">
        <f t="shared" si="14"/>
        <v>1120</v>
      </c>
      <c r="K52" s="185">
        <f t="shared" si="15"/>
        <v>320</v>
      </c>
      <c r="L52" s="186">
        <v>80</v>
      </c>
    </row>
    <row r="53" spans="2:12" x14ac:dyDescent="0.35">
      <c r="B53" s="180" t="s">
        <v>13</v>
      </c>
      <c r="C53" s="177" t="s">
        <v>13</v>
      </c>
      <c r="D53" s="19">
        <f t="shared" si="8"/>
        <v>6160</v>
      </c>
      <c r="E53" s="19">
        <f t="shared" si="9"/>
        <v>4900</v>
      </c>
      <c r="F53" s="19">
        <f t="shared" si="10"/>
        <v>3920</v>
      </c>
      <c r="G53" s="19">
        <f t="shared" si="11"/>
        <v>3080</v>
      </c>
      <c r="H53" s="19">
        <f t="shared" si="12"/>
        <v>2940</v>
      </c>
      <c r="I53" s="19">
        <f t="shared" si="13"/>
        <v>1960</v>
      </c>
      <c r="J53" s="19">
        <f t="shared" si="14"/>
        <v>980</v>
      </c>
      <c r="K53" s="19">
        <f t="shared" si="15"/>
        <v>280</v>
      </c>
      <c r="L53" s="18">
        <v>70</v>
      </c>
    </row>
    <row r="54" spans="2:12" x14ac:dyDescent="0.35">
      <c r="B54" s="180" t="s">
        <v>12</v>
      </c>
      <c r="C54" s="177" t="s">
        <v>12</v>
      </c>
      <c r="D54" s="19">
        <f t="shared" si="8"/>
        <v>5280</v>
      </c>
      <c r="E54" s="19">
        <f t="shared" si="9"/>
        <v>4200</v>
      </c>
      <c r="F54" s="19">
        <f t="shared" si="10"/>
        <v>3360</v>
      </c>
      <c r="G54" s="19">
        <f t="shared" si="11"/>
        <v>2640</v>
      </c>
      <c r="H54" s="19">
        <f t="shared" si="12"/>
        <v>2520</v>
      </c>
      <c r="I54" s="19">
        <f t="shared" si="13"/>
        <v>1680</v>
      </c>
      <c r="J54" s="19">
        <f t="shared" si="14"/>
        <v>840</v>
      </c>
      <c r="K54" s="19">
        <f t="shared" si="15"/>
        <v>240</v>
      </c>
      <c r="L54" s="18">
        <v>60</v>
      </c>
    </row>
    <row r="55" spans="2:12" x14ac:dyDescent="0.35">
      <c r="B55" s="180" t="s">
        <v>11</v>
      </c>
      <c r="C55" s="177" t="s">
        <v>11</v>
      </c>
      <c r="D55" s="19">
        <f t="shared" si="8"/>
        <v>4400</v>
      </c>
      <c r="E55" s="19">
        <f t="shared" si="9"/>
        <v>3500</v>
      </c>
      <c r="F55" s="19">
        <f t="shared" si="10"/>
        <v>2800</v>
      </c>
      <c r="G55" s="19">
        <f t="shared" si="11"/>
        <v>2200</v>
      </c>
      <c r="H55" s="19">
        <f t="shared" si="12"/>
        <v>2100</v>
      </c>
      <c r="I55" s="19">
        <f t="shared" si="13"/>
        <v>1400</v>
      </c>
      <c r="J55" s="19">
        <f t="shared" si="14"/>
        <v>700</v>
      </c>
      <c r="K55" s="19">
        <f t="shared" si="15"/>
        <v>200</v>
      </c>
      <c r="L55" s="18">
        <v>50</v>
      </c>
    </row>
    <row r="56" spans="2:12" ht="15" thickBot="1" x14ac:dyDescent="0.4">
      <c r="B56" s="181" t="s">
        <v>106</v>
      </c>
      <c r="C56" s="178" t="s">
        <v>10</v>
      </c>
      <c r="D56" s="14">
        <f t="shared" si="8"/>
        <v>3520</v>
      </c>
      <c r="E56" s="14">
        <f t="shared" si="9"/>
        <v>2800</v>
      </c>
      <c r="F56" s="14">
        <f t="shared" si="10"/>
        <v>2240</v>
      </c>
      <c r="G56" s="14">
        <f t="shared" si="11"/>
        <v>1760</v>
      </c>
      <c r="H56" s="14">
        <f t="shared" si="12"/>
        <v>1680</v>
      </c>
      <c r="I56" s="14">
        <f t="shared" si="13"/>
        <v>1120</v>
      </c>
      <c r="J56" s="14">
        <f t="shared" si="14"/>
        <v>560</v>
      </c>
      <c r="K56" s="14">
        <f t="shared" si="15"/>
        <v>160</v>
      </c>
      <c r="L56" s="13">
        <v>40</v>
      </c>
    </row>
  </sheetData>
  <mergeCells count="13">
    <mergeCell ref="H3:H4"/>
    <mergeCell ref="F6:G6"/>
    <mergeCell ref="F7:G7"/>
    <mergeCell ref="F8:G8"/>
    <mergeCell ref="B9:K9"/>
    <mergeCell ref="B7:C7"/>
    <mergeCell ref="B42:L42"/>
    <mergeCell ref="B44:B45"/>
    <mergeCell ref="C44:K44"/>
    <mergeCell ref="L44:L45"/>
    <mergeCell ref="B29:B30"/>
    <mergeCell ref="C29:K29"/>
    <mergeCell ref="L29:L30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TETO R$ 35.462,22_APROVADA </vt:lpstr>
      <vt:lpstr>TABELA-RESOLUÇÃO UEA_R$ 35.462</vt:lpstr>
      <vt:lpstr>TABELA-RESOLUÇÃO UEA_R$ 39.200</vt:lpstr>
      <vt:lpstr>PROPOSTA TETO R$ 41.650,92</vt:lpstr>
      <vt:lpstr>PRATICADA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Michelle PMO</dc:creator>
  <cp:lastModifiedBy>Kaue Martins</cp:lastModifiedBy>
  <dcterms:created xsi:type="dcterms:W3CDTF">2021-07-07T17:23:12Z</dcterms:created>
  <dcterms:modified xsi:type="dcterms:W3CDTF">2026-02-26T23:52:01Z</dcterms:modified>
</cp:coreProperties>
</file>